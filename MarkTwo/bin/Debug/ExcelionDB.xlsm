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level9_113\Documents\MarkTwo\MarkTwo\bin\Debug\"/>
    </mc:Choice>
  </mc:AlternateContent>
  <xr:revisionPtr revIDLastSave="0" documentId="13_ncr:1_{A7E4F53C-898D-417E-A0BE-83B48E67D0F0}" xr6:coauthVersionLast="43" xr6:coauthVersionMax="43" xr10:uidLastSave="{00000000-0000-0000-0000-000000000000}"/>
  <bookViews>
    <workbookView minimized="1" xWindow="-19935" yWindow="2085" windowWidth="21390" windowHeight="9675" tabRatio="968" activeTab="1" xr2:uid="{00000000-000D-0000-FFFF-FFFF00000000}"/>
  </bookViews>
  <sheets>
    <sheet name="테이블_규칙" sheetId="3" r:id="rId1"/>
    <sheet name="Test01" sheetId="90" r:id="rId2"/>
    <sheet name="Test02" sheetId="91" r:id="rId3"/>
    <sheet name="Test03" sheetId="92" r:id="rId4"/>
    <sheet name="ConquerorLevel" sheetId="65" r:id="rId5"/>
    <sheet name="CharacterLevel" sheetId="66" r:id="rId6"/>
    <sheet name="Enchant" sheetId="67" r:id="rId7"/>
    <sheet name="CardEnchantRate" sheetId="68" r:id="rId8"/>
    <sheet name="CardOption" sheetId="69" r:id="rId9"/>
    <sheet name="Quest" sheetId="70" r:id="rId10"/>
    <sheet name="Map" sheetId="71" r:id="rId11"/>
    <sheet name="Gathering" sheetId="72" r:id="rId12"/>
    <sheet name="Dialog" sheetId="73" r:id="rId13"/>
    <sheet name="Dialog_Effect" sheetId="74" r:id="rId14"/>
    <sheet name="NPC" sheetId="77" r:id="rId15"/>
    <sheet name="Item" sheetId="79" r:id="rId16"/>
    <sheet name="DropBag" sheetId="75" r:id="rId17"/>
    <sheet name="Multilingual" sheetId="82" r:id="rId18"/>
    <sheet name="Tag" sheetId="89" r:id="rId19"/>
    <sheet name="PR" sheetId="76" r:id="rId20"/>
    <sheet name="NPCGroupBag" sheetId="78" r:id="rId21"/>
    <sheet name="Setitem" sheetId="80" r:id="rId22"/>
    <sheet name="Skill" sheetId="81" r:id="rId23"/>
    <sheet name="ServerMessage" sheetId="88" r:id="rId24"/>
    <sheet name="Achievement" sheetId="83" r:id="rId25"/>
    <sheet name="LocalAchievement" sheetId="84" r:id="rId26"/>
    <sheet name="AchievementResult" sheetId="85" r:id="rId27"/>
    <sheet name="Shop" sheetId="86" r:id="rId28"/>
    <sheet name="Grade" sheetId="87" r:id="rId29"/>
    <sheet name="테이블관리" sheetId="64" r:id="rId30"/>
    <sheet name="테이블버전관리" sheetId="29" r:id="rId31"/>
    <sheet name="공식" sheetId="37" r:id="rId32"/>
  </sheets>
  <functionGroups builtInGroupCount="19"/>
  <definedNames>
    <definedName name="_xlnm._FilterDatabase" localSheetId="14" hidden="1">NPC!$D$4:$D$27</definedName>
    <definedName name="ItemType">Tag!$C$8:$C$9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7" i="90" l="1"/>
  <c r="E7" i="90"/>
  <c r="D7" i="90"/>
  <c r="F6" i="90"/>
  <c r="E6" i="90"/>
  <c r="D6" i="90"/>
  <c r="B5" i="90" l="1"/>
  <c r="B6" i="90" s="1"/>
  <c r="B7" i="90" s="1"/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A28" i="76" l="1"/>
  <c r="F28" i="76" s="1"/>
  <c r="F12" i="76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 s="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B10" i="79" l="1"/>
  <c r="C10" i="82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B12" i="79" l="1"/>
  <c r="I18" i="65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17" i="81" l="1"/>
  <c r="C36" i="81"/>
  <c r="C56" i="81"/>
  <c r="C45" i="8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<sst xmlns="http://schemas.openxmlformats.org/spreadsheetml/2006/main" count="2393" uniqueCount="1505">
  <si>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</si>
  <si>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</si>
  <si>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</si>
  <si>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</si>
  <si>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</si>
  <si>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</si>
  <si>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</si>
  <si>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</si>
  <si>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</si>
  <si>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</si>
  <si>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</si>
  <si>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</si>
  <si>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</si>
  <si>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</si>
  <si>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</si>
  <si>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</si>
  <si>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</si>
  <si>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</si>
  <si>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</si>
  <si>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</si>
  <si>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</si>
  <si>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</si>
  <si>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</si>
  <si>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</si>
  <si>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</si>
  <si>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</si>
  <si>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</si>
  <si>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</si>
  <si>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</si>
  <si>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</si>
  <si>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</si>
  <si>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</si>
  <si>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</si>
  <si>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</si>
  <si>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</si>
  <si>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</si>
  <si>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</si>
  <si>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</si>
  <si>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</si>
  <si>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</si>
  <si>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</si>
  <si>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</si>
  <si>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</si>
  <si>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</si>
  <si>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</si>
  <si>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</si>
  <si>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</si>
  <si>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</si>
  <si>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</si>
  <si>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</si>
  <si>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</si>
  <si>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</si>
  <si>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</si>
  <si>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</si>
  <si>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</si>
  <si>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</si>
  <si>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</si>
  <si>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</si>
  <si>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</si>
  <si>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</si>
  <si>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</si>
  <si>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</si>
  <si>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</si>
  <si>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</si>
  <si>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</si>
  <si>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</si>
  <si>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</si>
  <si>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</si>
  <si>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</si>
  <si>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</si>
  <si>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</si>
  <si>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</si>
  <si>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</si>
  <si>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</si>
  <si>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</si>
  <si>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</si>
  <si>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</si>
  <si>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</si>
  <si>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</si>
  <si>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</si>
  <si>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</si>
  <si>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</si>
  <si>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</si>
  <si>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</si>
  <si>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</si>
  <si>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</si>
  <si>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</si>
  <si>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</si>
  <si>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</si>
  <si>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</si>
  <si>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</si>
  <si>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</si>
  <si>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</si>
  <si>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</si>
  <si>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</si>
  <si>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</si>
  <si>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</si>
  <si>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</si>
  <si>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</si>
  <si>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</si>
  <si>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</si>
  <si>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</si>
  <si>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</si>
  <si>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</si>
  <si>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</si>
  <si>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</si>
  <si>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</si>
  <si>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</si>
  <si>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</si>
  <si>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</si>
  <si>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</si>
  <si>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</si>
  <si>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</si>
  <si>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</si>
  <si>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</si>
  <si>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</si>
  <si>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</si>
  <si>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</si>
  <si>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</si>
  <si>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</si>
  <si>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</si>
  <si>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</si>
  <si>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</si>
  <si>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</si>
  <si>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</si>
  <si>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</si>
  <si>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</si>
  <si>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</si>
  <si>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</si>
  <si>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</si>
  <si>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</si>
  <si>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</si>
  <si>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</si>
  <si>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</si>
  <si>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</si>
  <si>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</si>
  <si>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</si>
  <si>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</si>
  <si>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</si>
  <si>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</si>
  <si>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</si>
  <si>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</si>
  <si>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</si>
  <si>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</si>
  <si>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</si>
  <si>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</si>
  <si>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</si>
  <si>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</si>
  <si>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</si>
  <si>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</si>
  <si>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</si>
  <si>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</si>
  <si>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</si>
  <si>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</si>
  <si>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</si>
  <si>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</si>
  <si>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</si>
  <si>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</si>
  <si>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</si>
  <si>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</si>
  <si>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</si>
  <si>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</si>
  <si>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</si>
  <si>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</si>
  <si>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</si>
  <si>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</si>
  <si>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</si>
  <si>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</si>
  <si>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</si>
  <si>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</si>
  <si>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</si>
  <si>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</si>
  <si>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</si>
  <si>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</si>
  <si>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</si>
  <si>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</si>
  <si>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</si>
  <si>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</si>
  <si>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</si>
  <si>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</si>
  <si>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</si>
  <si>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</si>
  <si>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</si>
  <si>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</si>
  <si>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</si>
  <si>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</si>
  <si>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</si>
  <si>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</si>
  <si>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</si>
  <si>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</si>
  <si>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</si>
  <si>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</si>
  <si>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</si>
  <si>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</si>
  <si>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</si>
  <si>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</si>
  <si>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</si>
  <si>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</si>
  <si>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</si>
  <si>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</si>
  <si>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</si>
  <si>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</si>
  <si>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</si>
  <si>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</si>
  <si>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</si>
  <si>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</si>
  <si>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</si>
  <si>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</si>
  <si>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</si>
  <si>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</si>
  <si>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</si>
  <si>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</si>
  <si>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</si>
  <si>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</si>
  <si>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</si>
  <si>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</si>
  <si>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</si>
  <si>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</si>
  <si>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</si>
  <si>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</si>
  <si>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</si>
  <si>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</si>
  <si>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</si>
  <si>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</si>
  <si>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</si>
  <si>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</si>
  <si>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</si>
  <si>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</si>
  <si>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</si>
  <si>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</si>
  <si>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</si>
  <si>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</si>
  <si>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</si>
  <si>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</si>
  <si>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</si>
  <si>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</si>
  <si>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</si>
  <si>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</si>
  <si>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</si>
  <si>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</si>
  <si>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</si>
  <si>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</si>
  <si>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</si>
  <si>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</si>
  <si>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</si>
  <si>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</si>
  <si>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</si>
  <si>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</si>
  <si>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</si>
  <si>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</si>
  <si>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</si>
  <si>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</si>
  <si>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</si>
  <si>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</si>
  <si>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</si>
  <si>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</si>
  <si>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</si>
  <si>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</si>
  <si>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</si>
  <si>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</si>
  <si>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</si>
  <si>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</si>
  <si>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</si>
  <si>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</si>
  <si>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</si>
  <si>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</si>
  <si>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</si>
  <si>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</si>
  <si>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</si>
  <si>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</si>
  <si>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</si>
  <si>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</si>
  <si>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</si>
  <si>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</si>
  <si>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</si>
  <si>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</si>
  <si>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</si>
  <si>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</si>
  <si>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</si>
  <si>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</si>
  <si>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</si>
  <si>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</si>
  <si>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</si>
  <si>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</si>
  <si>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</si>
  <si>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</si>
  <si>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</si>
  <si>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</si>
  <si>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</si>
  <si>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</si>
  <si>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</si>
  <si>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</si>
  <si>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</si>
  <si>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</si>
  <si>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</si>
  <si>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</si>
  <si>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</si>
  <si>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</si>
  <si>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</si>
  <si>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</si>
  <si>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</si>
  <si>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</si>
  <si>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</si>
  <si>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</si>
  <si>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</si>
  <si>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</si>
  <si>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</si>
  <si>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</si>
  <si>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</si>
  <si>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</si>
  <si>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</si>
  <si>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</si>
  <si>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</si>
  <si>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</si>
  <si>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</si>
  <si>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</si>
  <si>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</si>
  <si>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</si>
  <si>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</si>
  <si>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</si>
  <si>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</si>
  <si>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</si>
  <si>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</si>
  <si>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</si>
  <si>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</si>
  <si>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</si>
  <si>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</si>
  <si>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</si>
  <si>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</si>
  <si>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</si>
  <si>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</si>
  <si>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</si>
  <si>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</si>
  <si>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</si>
  <si>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</si>
  <si>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</si>
  <si>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</si>
  <si>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</si>
  <si>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</si>
  <si>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</si>
  <si>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</si>
  <si>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</si>
  <si>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</si>
  <si>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</si>
  <si>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</si>
  <si>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</si>
  <si>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</si>
  <si>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</si>
  <si>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</si>
  <si>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</si>
  <si>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</si>
  <si>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</si>
  <si>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</si>
  <si>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</si>
  <si>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</si>
  <si>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</si>
  <si>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</si>
  <si>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</si>
  <si>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</si>
  <si>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</si>
  <si>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</si>
  <si>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</si>
  <si>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</si>
  <si>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</si>
  <si>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</si>
  <si>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</si>
  <si>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</si>
  <si>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</si>
  <si>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</si>
  <si>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</si>
  <si>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</si>
  <si>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</si>
  <si>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</si>
  <si>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</si>
  <si>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</si>
  <si>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</si>
  <si>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</si>
  <si>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</si>
  <si>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</si>
  <si>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</si>
  <si>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</si>
  <si>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</si>
  <si>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</si>
  <si>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</si>
  <si>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</si>
  <si>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</si>
  <si>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</si>
  <si>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</si>
  <si>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</si>
  <si>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</si>
  <si>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</si>
  <si>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</si>
  <si>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</si>
  <si>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</si>
  <si>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</si>
  <si>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</si>
  <si>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</si>
  <si>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</si>
  <si>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</si>
  <si>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</si>
  <si>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</si>
  <si>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</si>
  <si>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</si>
  <si>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</si>
  <si>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</si>
  <si>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</si>
  <si>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</si>
  <si>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</si>
  <si>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</si>
  <si>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</si>
  <si>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</si>
  <si>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</si>
  <si>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</si>
  <si>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</si>
  <si>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</si>
  <si>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</si>
  <si>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</si>
  <si>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</si>
  <si>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</si>
  <si>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</si>
  <si>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</si>
  <si>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</si>
  <si>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</si>
  <si>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</si>
  <si>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</si>
  <si>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</si>
  <si>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</si>
  <si>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</si>
  <si>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</si>
  <si>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</si>
  <si>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</si>
  <si>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</si>
  <si>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</si>
  <si>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</si>
  <si>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</si>
  <si>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</si>
  <si>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</si>
  <si>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</si>
  <si>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</si>
  <si>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</si>
  <si>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</si>
  <si>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</si>
  <si>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</si>
  <si>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</si>
  <si>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</si>
  <si>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</si>
  <si>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</si>
  <si>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</si>
  <si>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</si>
  <si>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</si>
  <si>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</si>
  <si>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</si>
  <si>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</si>
  <si>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</si>
  <si>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</si>
  <si>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</si>
  <si>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</si>
  <si>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</si>
  <si>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</si>
  <si>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</si>
  <si>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</si>
  <si>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</si>
  <si>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</si>
  <si>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</si>
  <si>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</si>
  <si>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</si>
  <si>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</si>
  <si>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</si>
  <si>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</si>
  <si>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</si>
  <si>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</si>
  <si>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</si>
  <si>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</si>
  <si>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</si>
  <si>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</si>
  <si>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</si>
  <si>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</si>
  <si>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</si>
  <si>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</si>
  <si>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</si>
  <si>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</si>
  <si>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</si>
  <si>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</si>
  <si>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</si>
  <si>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</si>
  <si>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</si>
  <si>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</si>
  <si>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</si>
  <si>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</si>
  <si>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</si>
  <si>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</si>
  <si>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</si>
  <si>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</si>
  <si>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</si>
  <si>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</si>
  <si>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</si>
  <si>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</si>
  <si>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</si>
  <si>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</si>
  <si>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</si>
  <si>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</si>
  <si>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</si>
  <si>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</si>
  <si>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</si>
  <si>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</si>
  <si>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</si>
  <si>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</si>
  <si>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</si>
  <si>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</si>
  <si>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</si>
  <si>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</si>
  <si>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</si>
  <si>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</si>
  <si>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</si>
  <si>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</si>
  <si>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</si>
  <si>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</si>
  <si>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</si>
  <si>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</si>
  <si>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</si>
  <si>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</si>
  <si>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</si>
  <si>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</si>
  <si>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</si>
  <si>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</si>
  <si>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</si>
  <si>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</si>
  <si>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</si>
  <si>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</si>
  <si>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</si>
  <si>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</si>
  <si>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</si>
  <si>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</si>
  <si>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</si>
  <si>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</si>
  <si>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</si>
  <si>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</si>
  <si>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</si>
  <si>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</si>
  <si>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</si>
  <si>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</si>
  <si>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</si>
  <si>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</si>
  <si>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</si>
  <si>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</si>
  <si>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</si>
  <si>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</si>
  <si>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</si>
  <si>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</si>
  <si>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</si>
  <si>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</si>
  <si>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</si>
  <si>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</si>
  <si>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</si>
  <si>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</si>
  <si>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</si>
  <si>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</si>
  <si>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</si>
  <si>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</si>
  <si>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</si>
  <si>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</si>
  <si>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</si>
  <si>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</si>
  <si>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</si>
  <si>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</si>
  <si>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</si>
  <si>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</si>
  <si>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</si>
  <si>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</si>
  <si>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</si>
  <si>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</si>
  <si>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</si>
  <si>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</si>
  <si>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</si>
  <si>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</si>
  <si>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</si>
  <si>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</si>
  <si>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</si>
  <si>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</si>
  <si>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</si>
  <si>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</si>
  <si>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</si>
  <si>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</si>
  <si>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</si>
  <si>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</si>
  <si>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</si>
  <si>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</si>
  <si>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</si>
  <si>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</si>
  <si>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</si>
  <si>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</si>
  <si>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</si>
  <si>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</si>
  <si>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</si>
  <si>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</si>
  <si>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</si>
  <si>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</si>
  <si>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</si>
  <si>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</si>
  <si>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</si>
  <si>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</si>
  <si>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</si>
  <si>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</si>
  <si>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</si>
  <si>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</si>
  <si>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</si>
  <si>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</si>
  <si>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</si>
  <si>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</si>
  <si>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</si>
  <si>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</si>
  <si>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</si>
  <si>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</si>
  <si>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</si>
  <si>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</si>
  <si>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</si>
  <si>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</si>
  <si>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</si>
  <si>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</si>
  <si>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</si>
  <si>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</si>
  <si>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</si>
  <si>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</si>
  <si>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</si>
  <si>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</si>
  <si>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</si>
  <si>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</si>
  <si>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</si>
  <si>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</si>
  <si>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</si>
  <si>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</si>
  <si>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</si>
  <si>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</si>
  <si>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</si>
  <si>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</si>
  <si>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</si>
  <si>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</si>
  <si>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</si>
  <si>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</si>
  <si>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</si>
  <si>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</si>
  <si>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</si>
  <si>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</si>
  <si>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</si>
  <si>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</si>
  <si>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</si>
  <si>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</si>
  <si>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</si>
  <si>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</si>
  <si>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</si>
  <si>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</si>
  <si>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</si>
  <si>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</si>
  <si>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</si>
  <si>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</si>
  <si>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</si>
  <si>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</si>
  <si>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</si>
  <si>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</si>
  <si>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</si>
  <si>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</si>
  <si>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</si>
  <si>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</si>
  <si>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</si>
  <si>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</si>
  <si>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</si>
  <si>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</si>
  <si>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</si>
  <si>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</si>
  <si>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</si>
  <si>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</si>
  <si>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</si>
  <si>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</si>
  <si>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</si>
  <si>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</si>
  <si>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</si>
  <si>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</si>
  <si>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</si>
  <si>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</si>
  <si>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</si>
  <si>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</si>
  <si>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</si>
  <si>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</si>
  <si>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</si>
  <si>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</si>
  <si>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</si>
  <si>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</si>
  <si>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</si>
  <si>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</si>
  <si>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</si>
  <si>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</si>
  <si>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</si>
  <si>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</si>
  <si>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</si>
  <si>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</si>
  <si>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</si>
  <si>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</si>
  <si>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</si>
  <si>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</si>
  <si>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</si>
  <si>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</si>
  <si>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</si>
  <si>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</si>
  <si>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</si>
  <si>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</si>
  <si>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</si>
  <si>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</si>
  <si>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</si>
  <si>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</si>
  <si>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</si>
  <si>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</si>
  <si>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</si>
  <si>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</si>
  <si>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</si>
  <si>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</si>
  <si>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</si>
  <si>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</si>
  <si>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</si>
  <si>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</si>
  <si>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</si>
  <si>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</si>
  <si>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</si>
  <si>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</si>
  <si>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</si>
  <si>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</si>
  <si>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</si>
  <si>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</si>
  <si>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</si>
  <si>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</si>
  <si>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</si>
  <si>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</si>
  <si>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</si>
  <si>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</si>
  <si>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</si>
  <si>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</si>
  <si>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</si>
  <si>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</si>
  <si>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</si>
  <si>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</si>
  <si>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</si>
  <si>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</si>
  <si>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</si>
  <si>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</si>
  <si>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</si>
  <si>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</si>
  <si>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</si>
  <si>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</si>
  <si>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</si>
  <si>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</si>
  <si>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</si>
  <si>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</si>
  <si>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</si>
  <si>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</si>
  <si>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</si>
  <si>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</si>
  <si>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</si>
  <si>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</si>
  <si>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</si>
  <si>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</si>
  <si>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</si>
  <si>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</si>
  <si>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</si>
  <si>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</si>
  <si>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</si>
  <si>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</si>
  <si>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</si>
  <si>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</si>
  <si>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</si>
  <si>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</si>
  <si>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</si>
  <si>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</si>
  <si>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</si>
  <si>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</si>
  <si>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</si>
  <si>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</si>
  <si>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</si>
  <si>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</si>
  <si>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</si>
  <si>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</si>
  <si>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</si>
  <si>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</si>
  <si>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</si>
  <si>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</si>
  <si>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</si>
  <si>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</si>
  <si>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</si>
  <si>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</si>
  <si>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</si>
  <si>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</si>
  <si>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</si>
  <si>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</si>
  <si>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</si>
  <si>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</si>
  <si>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</si>
  <si>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</si>
  <si>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</si>
  <si>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</si>
  <si>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</si>
  <si>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</si>
  <si>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</si>
  <si>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</si>
  <si>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</si>
  <si>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</si>
  <si>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</si>
  <si>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</si>
  <si>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</si>
  <si>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</si>
  <si>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</si>
  <si>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</si>
  <si>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</si>
  <si>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</si>
  <si>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</si>
  <si>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</si>
  <si>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</si>
  <si>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</si>
  <si>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</si>
  <si>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</si>
  <si>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</si>
  <si>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</si>
  <si>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</si>
  <si>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</si>
  <si>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</si>
  <si>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</si>
  <si>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</si>
  <si>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</si>
  <si>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</si>
  <si>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</si>
  <si>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</si>
  <si>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</si>
  <si>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</si>
  <si>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</si>
  <si>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</si>
  <si>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</si>
  <si>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</si>
  <si>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</si>
  <si>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</si>
  <si>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</si>
  <si>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</si>
  <si>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</si>
  <si>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</si>
  <si>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</si>
  <si>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</si>
  <si>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</si>
  <si>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</si>
  <si>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</si>
  <si>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</si>
  <si>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</si>
  <si>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</si>
  <si>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</si>
  <si>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</si>
  <si>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</si>
  <si>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</si>
  <si>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</si>
  <si>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</si>
  <si>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</si>
  <si>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</si>
  <si>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</si>
  <si>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</si>
  <si>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</si>
  <si>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</si>
  <si>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</si>
  <si>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</si>
  <si>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</si>
  <si>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</si>
  <si>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</si>
  <si>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</si>
  <si>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</si>
  <si>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</si>
  <si>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</si>
  <si>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</si>
  <si>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</si>
  <si>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</si>
  <si>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</si>
  <si>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</si>
  <si>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</si>
  <si>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</si>
  <si>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</si>
  <si>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</si>
  <si>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</si>
  <si>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</si>
  <si>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</si>
  <si>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</si>
  <si>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</si>
  <si>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</si>
  <si>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</si>
  <si>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</si>
  <si>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</si>
  <si>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</si>
  <si>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</si>
  <si>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</si>
  <si>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</si>
  <si>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</si>
  <si>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</si>
  <si>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</si>
  <si>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</si>
  <si>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</si>
  <si>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</si>
  <si>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</si>
  <si>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</si>
  <si>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</si>
  <si>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</si>
  <si>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</si>
  <si>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</si>
  <si>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</si>
  <si>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</si>
  <si>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</si>
  <si>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</si>
  <si>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</si>
  <si>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</si>
  <si>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</si>
  <si>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</si>
  <si>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</si>
  <si>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</si>
  <si>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</si>
  <si>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</si>
  <si>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</si>
  <si>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</si>
  <si>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</si>
  <si>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</si>
  <si>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</si>
  <si>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</si>
  <si>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</si>
  <si>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</si>
  <si>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</si>
  <si>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</si>
  <si>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</si>
  <si>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</si>
  <si>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</si>
  <si>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</si>
  <si>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</si>
  <si>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</si>
  <si>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</si>
  <si>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</si>
  <si>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</si>
  <si>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</si>
  <si>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</si>
  <si>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</si>
  <si>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</si>
  <si>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</si>
  <si>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</si>
  <si>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</si>
  <si>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</si>
  <si>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</si>
  <si>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</si>
  <si>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</si>
  <si>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</si>
  <si>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</si>
  <si>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</si>
  <si>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</si>
  <si>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</si>
  <si>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</si>
  <si>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</si>
  <si>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</si>
  <si>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</si>
  <si>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</si>
  <si>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</si>
  <si>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</si>
  <si>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</si>
  <si>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</si>
  <si>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</si>
  <si>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</si>
  <si>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</si>
  <si>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</si>
  <si>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</si>
  <si>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</si>
  <si>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</si>
  <si>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</si>
  <si>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</si>
  <si>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</si>
  <si>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</si>
  <si>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</si>
  <si>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</si>
  <si>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</si>
  <si>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</si>
  <si>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</si>
  <si>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</si>
  <si>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</si>
  <si>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</si>
  <si>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</si>
  <si>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</si>
  <si>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</si>
  <si>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</si>
  <si>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</si>
  <si>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</si>
  <si>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</si>
  <si>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</si>
  <si>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</si>
  <si>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</si>
  <si>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</si>
  <si>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</si>
  <si>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</si>
  <si>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</si>
  <si>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</si>
  <si>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</si>
  <si>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</si>
  <si>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</si>
  <si>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</si>
  <si>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</si>
  <si>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</si>
  <si>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</si>
  <si>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</si>
  <si>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</si>
  <si>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</si>
  <si>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</si>
  <si>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</si>
  <si>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</si>
  <si>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</si>
  <si>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</si>
  <si>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</si>
  <si>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</si>
  <si>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</si>
  <si>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</si>
  <si>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</si>
  <si>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</si>
  <si>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</si>
  <si>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</si>
  <si>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</si>
  <si>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</si>
  <si>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</si>
  <si>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</si>
  <si>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</si>
  <si>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</si>
  <si>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</si>
  <si>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</si>
  <si>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</si>
  <si>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</si>
  <si>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</si>
  <si>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</si>
  <si>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</si>
  <si>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</si>
  <si>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</si>
  <si>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</si>
  <si>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</si>
  <si>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</si>
  <si>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</si>
  <si>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</si>
  <si>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</si>
  <si>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</si>
  <si>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</si>
  <si>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</si>
  <si>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</si>
  <si>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</si>
  <si>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</si>
  <si>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</si>
  <si>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</si>
  <si>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</si>
  <si>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</si>
  <si>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</si>
  <si>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</si>
  <si>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</si>
  <si>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</si>
  <si>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</si>
  <si>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</si>
  <si>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</si>
  <si>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</si>
  <si>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</si>
  <si>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</si>
  <si>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</si>
  <si>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</si>
  <si>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</si>
  <si>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</si>
  <si>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</si>
  <si>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</si>
  <si>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</si>
  <si>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</si>
  <si>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</si>
  <si>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</si>
  <si>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</si>
  <si>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</si>
  <si>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</si>
  <si>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</si>
  <si>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</si>
  <si>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</si>
  <si>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</si>
  <si>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</si>
  <si>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</si>
  <si>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</si>
  <si>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</si>
  <si>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</si>
  <si>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</si>
  <si>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</si>
  <si>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</si>
  <si>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</si>
  <si>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</si>
  <si>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</si>
  <si>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</si>
  <si>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</si>
  <si>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</si>
  <si>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</si>
  <si>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</si>
  <si>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</si>
  <si>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</si>
  <si>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</si>
  <si>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</si>
  <si>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</si>
  <si>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</si>
  <si>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</si>
  <si>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</si>
  <si>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</si>
  <si>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</si>
  <si>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</si>
  <si>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</si>
  <si>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</si>
  <si>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</si>
  <si>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</si>
  <si>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</si>
  <si>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</si>
  <si>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</si>
  <si>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</si>
  <si>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</si>
  <si>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</si>
  <si>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</si>
  <si>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</si>
  <si>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</si>
  <si>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</si>
  <si>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</si>
  <si>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</si>
  <si>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</si>
  <si>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</si>
  <si>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</si>
  <si>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</si>
  <si>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</si>
  <si>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</si>
  <si>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</si>
  <si>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</si>
  <si>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</si>
  <si>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</si>
  <si>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</si>
  <si>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</si>
  <si>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</si>
  <si>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</si>
  <si>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</si>
  <si>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</si>
  <si>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</si>
  <si>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</si>
  <si>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</si>
  <si>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</si>
  <si>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</si>
  <si>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</si>
  <si>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</si>
  <si>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</si>
  <si>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</si>
  <si>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</si>
  <si>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</si>
  <si>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</si>
  <si>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</si>
  <si>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</si>
  <si>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</si>
  <si>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</si>
  <si>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</si>
  <si>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</si>
  <si>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</si>
  <si>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</si>
  <si>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</si>
  <si>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</si>
  <si>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</si>
  <si>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</si>
  <si>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</si>
  <si>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</si>
  <si>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</si>
  <si>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</si>
  <si>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</si>
  <si>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</si>
  <si>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</si>
  <si>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</si>
  <si>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</si>
  <si>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</si>
  <si>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</si>
  <si>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</si>
  <si>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</si>
  <si>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</si>
  <si>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</si>
  <si>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</si>
  <si>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</si>
  <si>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</si>
  <si>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</si>
  <si>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</si>
  <si>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</si>
  <si>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</si>
  <si>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</si>
  <si>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</si>
  <si>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</si>
  <si>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</si>
  <si>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</si>
  <si>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</si>
  <si>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</si>
  <si>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</si>
  <si>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</si>
  <si>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</si>
  <si>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</si>
  <si>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</si>
  <si>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</si>
  <si>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</si>
  <si>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</si>
  <si>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</si>
  <si>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</si>
  <si>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</si>
  <si>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</si>
  <si>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</si>
  <si>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</si>
  <si>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</si>
  <si>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</si>
  <si>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</si>
  <si>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</si>
  <si>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</si>
  <si>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</si>
  <si>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</si>
  <si>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</si>
  <si>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</si>
  <si>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</si>
  <si>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</si>
  <si>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</si>
  <si>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</si>
  <si>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</si>
  <si>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</si>
  <si>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</si>
  <si>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</si>
  <si>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</si>
  <si>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</si>
  <si>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</si>
  <si>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</si>
  <si>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</si>
  <si>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</si>
  <si>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</si>
  <si>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</si>
  <si>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</si>
  <si>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</si>
  <si>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</si>
  <si>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</si>
  <si>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</si>
  <si>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</si>
  <si>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</si>
  <si>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</si>
  <si>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</si>
  <si>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</si>
  <si>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</si>
  <si>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</si>
  <si>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</si>
  <si>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</si>
  <si>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</si>
  <si>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</si>
  <si>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</si>
  <si>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</si>
  <si>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</si>
  <si>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</si>
  <si>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</si>
  <si>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</si>
  <si>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</si>
  <si>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</si>
  <si>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</si>
  <si>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</si>
  <si>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</si>
  <si>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</si>
  <si>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</si>
  <si>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</si>
  <si>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</si>
  <si>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</si>
  <si>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</si>
  <si>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</si>
  <si>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</si>
  <si>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</si>
  <si>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</si>
  <si>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</si>
  <si>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</si>
  <si>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</si>
  <si>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</si>
  <si>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</si>
  <si>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</si>
  <si>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</si>
  <si>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</si>
  <si>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</si>
  <si>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</si>
  <si>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</si>
  <si>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</si>
  <si>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</si>
  <si>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</si>
  <si>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</si>
  <si>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</si>
  <si>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</si>
  <si>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</si>
  <si>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</si>
  <si>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</si>
  <si>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</si>
  <si>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</si>
  <si>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</si>
  <si>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</si>
  <si>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</si>
  <si>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</si>
  <si>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</si>
  <si>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</si>
  <si>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</si>
  <si>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</si>
  <si>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</si>
  <si>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</si>
  <si>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</si>
  <si>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</si>
  <si>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</si>
  <si>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</si>
  <si>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</si>
  <si>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</si>
  <si>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</si>
  <si>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</si>
  <si>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</si>
  <si>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</si>
  <si>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</si>
  <si>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</si>
  <si>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</si>
  <si>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</si>
  <si>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</si>
  <si>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</si>
  <si>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</si>
  <si>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</si>
  <si>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</si>
  <si>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</si>
  <si>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</si>
  <si>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</si>
  <si>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</si>
  <si>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</si>
  <si>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</si>
  <si>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</si>
  <si>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</si>
  <si>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</si>
  <si>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</si>
  <si>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</si>
  <si>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</si>
  <si>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</si>
  <si>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</si>
  <si>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</si>
  <si>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</si>
  <si>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</si>
  <si>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</si>
  <si>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</si>
  <si>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</si>
  <si>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</si>
  <si>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</si>
  <si>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</si>
  <si>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</si>
  <si>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</si>
  <si>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</si>
  <si>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</si>
  <si>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</si>
  <si>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</si>
  <si>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</si>
  <si>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</si>
  <si>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</si>
  <si>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</si>
  <si>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</si>
  <si>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</si>
  <si>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</si>
  <si>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</si>
  <si>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</si>
  <si>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</si>
  <si>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</si>
  <si>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</si>
  <si>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</si>
  <si>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</si>
  <si>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</si>
  <si>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</si>
  <si>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</si>
  <si>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</si>
  <si>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</si>
  <si>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</si>
  <si>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</si>
  <si>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</si>
  <si>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</si>
  <si>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</si>
  <si>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</si>
  <si>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</si>
  <si>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</si>
  <si>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</si>
  <si>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</si>
  <si>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</si>
  <si>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</si>
  <si>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</si>
  <si>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</si>
  <si>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</si>
  <si>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</si>
  <si>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</si>
  <si>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</si>
  <si>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</si>
  <si>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</si>
  <si>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</si>
  <si>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</si>
  <si>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</si>
  <si>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</si>
  <si>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</si>
  <si>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</si>
  <si>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</si>
  <si>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</si>
  <si>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</si>
  <si>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</si>
  <si>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</si>
  <si>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</si>
  <si>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</si>
  <si>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</si>
  <si>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</si>
  <si>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</si>
  <si>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</si>
  <si>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</si>
  <si>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</si>
  <si>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</si>
  <si>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</si>
  <si>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</si>
  <si>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</si>
  <si>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</si>
  <si>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</si>
  <si>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</si>
  <si>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</si>
  <si>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</si>
  <si>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</si>
  <si>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</si>
  <si>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</si>
  <si>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</si>
  <si>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</si>
  <si>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</si>
  <si>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</si>
  <si>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</si>
  <si>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</si>
  <si>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</si>
  <si>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</si>
  <si>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</si>
  <si>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</si>
  <si>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</si>
  <si>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</si>
  <si>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</si>
  <si>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</si>
  <si>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</si>
  <si>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</si>
  <si>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</si>
  <si>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</si>
  <si>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</si>
  <si>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</si>
  <si>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</si>
  <si>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</si>
  <si>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</si>
  <si>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</si>
  <si>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</si>
  <si>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</si>
  <si>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</si>
  <si>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</si>
  <si>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</si>
  <si>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</si>
  <si>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</si>
  <si>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</si>
  <si>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</si>
  <si>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</si>
  <si>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</si>
  <si>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</si>
  <si>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</si>
  <si>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</si>
  <si>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</si>
  <si>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</si>
  <si>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</si>
  <si>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</si>
  <si>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</si>
  <si>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</si>
  <si>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</si>
  <si>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</si>
  <si>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</si>
  <si>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</si>
  <si>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</si>
  <si>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</si>
  <si>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</si>
  <si>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</si>
  <si>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</si>
  <si>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</si>
  <si>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</si>
  <si>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</si>
  <si>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</si>
  <si>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</si>
  <si>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</si>
  <si>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</si>
  <si>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</si>
  <si>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</si>
  <si>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</si>
  <si>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</si>
  <si>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</si>
  <si>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</si>
  <si>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</si>
  <si>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</si>
  <si>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</si>
  <si>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</si>
  <si>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Level110</t>
    <phoneticPr fontId="10" type="noConversion"/>
  </si>
  <si>
    <t>110레벨 패널티</t>
    <phoneticPr fontId="10" type="noConversion"/>
  </si>
  <si>
    <t>클라이언트 스레드03</t>
    <phoneticPr fontId="10" type="noConversion"/>
  </si>
  <si>
    <t>클라이언트 스레드04</t>
    <phoneticPr fontId="10" type="noConversion"/>
  </si>
  <si>
    <t>클라이언트 스레드05</t>
  </si>
  <si>
    <t>클라이언트 스레드06</t>
  </si>
  <si>
    <t>클라이언트 스레드07</t>
  </si>
  <si>
    <t>클라이언트 스레드08</t>
  </si>
  <si>
    <t>클라이언트 스레드09</t>
  </si>
  <si>
    <t>클라이언트 스레드10</t>
  </si>
  <si>
    <t>ConquerorLevel</t>
  </si>
  <si>
    <t xml:space="preserve">테스트 </t>
    <phoneticPr fontId="10" type="noConversion"/>
  </si>
  <si>
    <t>테스트2</t>
    <phoneticPr fontId="10" type="noConversion"/>
  </si>
  <si>
    <t>테스트3</t>
    <phoneticPr fontId="10" type="noConversion"/>
  </si>
  <si>
    <t>Test2</t>
    <phoneticPr fontId="10" type="noConversion"/>
  </si>
  <si>
    <t>Test3</t>
    <phoneticPr fontId="10" type="noConversion"/>
  </si>
  <si>
    <t>// 테스트 값</t>
    <phoneticPr fontId="10" type="noConversion"/>
  </si>
  <si>
    <t>Test01</t>
    <phoneticPr fontId="10" type="noConversion"/>
  </si>
  <si>
    <t>Test02</t>
    <phoneticPr fontId="10" type="noConversion"/>
  </si>
  <si>
    <t>Test03</t>
    <phoneticPr fontId="10" type="noConversion"/>
  </si>
  <si>
    <t>테스트4</t>
  </si>
  <si>
    <t>테스트5</t>
  </si>
  <si>
    <t>테스트6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</si>
</sst>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9" fontId="16" fillId="2" borderId="1" xfId="0" applyNumberFormat="1" applyFont="1" applyFill="1" applyBorder="1" applyAlignment="1">
      <alignment horizontal="left" vertical="center"/>
    </xf>
    <xf numFmtId="0" fontId="18" fillId="2" borderId="4" xfId="0" applyFont="1" applyFill="1" applyBorder="1" applyAlignment="1">
      <alignment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workbookViewId="0">
      <selection activeCell="K29" sqref="K29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53" t="s">
        <v>63</v>
      </c>
      <c r="C2" s="2" t="s">
        <v>64</v>
      </c>
      <c r="D2" s="2" t="s">
        <v>65</v>
      </c>
      <c r="F2" s="3" t="s">
        <v>66</v>
      </c>
    </row>
    <row r="3" spans="2:23">
      <c r="B3" s="254"/>
      <c r="C3" s="4">
        <v>0.33199998736381531</v>
      </c>
      <c r="D3" s="4">
        <v>0.33100000023841858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17"/>
      <c r="M6" s="217"/>
      <c r="N6" s="217"/>
      <c r="O6" s="217"/>
      <c r="P6" s="217"/>
      <c r="Q6" s="218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30" t="s">
        <v>1</v>
      </c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30" t="s">
        <v>79</v>
      </c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30" t="s">
        <v>78</v>
      </c>
      <c r="D14" s="230"/>
      <c r="E14" s="230"/>
      <c r="F14" s="230"/>
      <c r="G14" s="230"/>
      <c r="H14" s="230"/>
      <c r="I14" s="230"/>
      <c r="J14" s="230"/>
      <c r="K14" s="230"/>
      <c r="L14" s="230"/>
      <c r="M14" s="230"/>
      <c r="N14" s="230"/>
      <c r="P14" s="187" t="s">
        <v>1444</v>
      </c>
      <c r="Q14" s="188" t="s">
        <v>1445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44" t="s">
        <v>80</v>
      </c>
      <c r="D15" s="245"/>
      <c r="E15" s="245"/>
      <c r="F15" s="245"/>
      <c r="G15" s="245"/>
      <c r="H15" s="245"/>
      <c r="I15" s="245"/>
      <c r="J15" s="245"/>
      <c r="K15" s="245"/>
      <c r="L15" s="245"/>
      <c r="M15" s="245"/>
      <c r="N15" s="246"/>
      <c r="P15" s="187" t="s">
        <v>1443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30" t="s">
        <v>71</v>
      </c>
      <c r="D16" s="230"/>
      <c r="E16" s="230"/>
      <c r="F16" s="230"/>
      <c r="G16" s="230"/>
      <c r="H16" s="230"/>
      <c r="I16" s="230"/>
      <c r="J16" s="230"/>
      <c r="K16" s="230"/>
      <c r="L16" s="230"/>
      <c r="M16" s="230"/>
      <c r="N16" s="230"/>
      <c r="P16" s="187" t="s">
        <v>1442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30" t="s">
        <v>1446</v>
      </c>
      <c r="D17" s="230"/>
      <c r="E17" s="230"/>
      <c r="F17" s="230"/>
      <c r="G17" s="230"/>
      <c r="H17" s="230"/>
      <c r="I17" s="230"/>
      <c r="J17" s="230"/>
      <c r="K17" s="230"/>
      <c r="L17" s="230"/>
      <c r="M17" s="230"/>
      <c r="N17" s="230"/>
    </row>
    <row r="18" spans="2:14">
      <c r="B18" s="7" t="s">
        <v>62</v>
      </c>
      <c r="C18" s="230" t="s">
        <v>3</v>
      </c>
      <c r="D18" s="230"/>
      <c r="E18" s="230"/>
      <c r="F18" s="230"/>
      <c r="G18" s="230"/>
      <c r="H18" s="230"/>
      <c r="I18" s="230"/>
      <c r="J18" s="230"/>
      <c r="K18" s="230"/>
      <c r="L18" s="230"/>
      <c r="M18" s="230"/>
      <c r="N18" s="230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1454</v>
      </c>
      <c r="D22" s="159" t="s">
        <v>1212</v>
      </c>
      <c r="E22" s="159" t="s">
        <v>13</v>
      </c>
      <c r="F22" s="157"/>
      <c r="G22" s="157" t="s">
        <v>1481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1455</v>
      </c>
      <c r="D23" s="159" t="s">
        <v>1447</v>
      </c>
      <c r="E23" s="159">
        <v>1</v>
      </c>
      <c r="F23" s="157"/>
      <c r="G23" s="210" t="s">
        <v>1435</v>
      </c>
      <c r="H23" s="211" t="s">
        <v>1438</v>
      </c>
      <c r="I23" s="220" t="s">
        <v>1479</v>
      </c>
      <c r="J23" s="221" t="s">
        <v>1438</v>
      </c>
      <c r="K23" s="219" t="s">
        <v>1480</v>
      </c>
      <c r="L23" s="157"/>
    </row>
    <row r="24" spans="2:14">
      <c r="B24" s="159">
        <v>3</v>
      </c>
      <c r="C24" s="159" t="s">
        <v>1456</v>
      </c>
      <c r="D24" s="159" t="s">
        <v>1448</v>
      </c>
      <c r="E24" s="159">
        <v>2</v>
      </c>
      <c r="F24" s="157"/>
      <c r="G24" s="209" t="s">
        <v>1436</v>
      </c>
      <c r="H24" s="209" t="s">
        <v>1438</v>
      </c>
      <c r="I24" s="157"/>
      <c r="J24" s="157"/>
      <c r="K24" s="157"/>
      <c r="L24" s="157"/>
    </row>
    <row r="25" spans="2:14">
      <c r="B25" s="159">
        <v>4</v>
      </c>
      <c r="C25" s="159" t="s">
        <v>1457</v>
      </c>
      <c r="D25" s="159" t="s">
        <v>1449</v>
      </c>
      <c r="E25" s="159">
        <v>4</v>
      </c>
      <c r="F25" s="157"/>
      <c r="G25" s="210" t="s">
        <v>1437</v>
      </c>
      <c r="H25" s="211" t="s">
        <v>1438</v>
      </c>
      <c r="I25" s="212"/>
      <c r="J25" s="157"/>
      <c r="K25" s="157"/>
      <c r="L25" s="157"/>
    </row>
    <row r="26" spans="2:14">
      <c r="B26" s="159">
        <v>5</v>
      </c>
      <c r="C26" s="159" t="s">
        <v>1458</v>
      </c>
      <c r="D26" s="159" t="s">
        <v>1452</v>
      </c>
      <c r="E26" s="159">
        <v>4</v>
      </c>
      <c r="F26" s="157"/>
      <c r="G26" s="211" t="s">
        <v>1440</v>
      </c>
      <c r="H26" s="211" t="s">
        <v>1438</v>
      </c>
      <c r="I26" s="213"/>
      <c r="J26" s="157"/>
      <c r="K26" s="157"/>
      <c r="L26" s="157"/>
    </row>
    <row r="27" spans="2:14">
      <c r="B27" s="159">
        <v>6</v>
      </c>
      <c r="C27" s="159" t="s">
        <v>1459</v>
      </c>
      <c r="D27" s="159" t="s">
        <v>1450</v>
      </c>
      <c r="E27" s="159">
        <v>8</v>
      </c>
      <c r="F27" s="157"/>
      <c r="G27" s="211" t="s">
        <v>1441</v>
      </c>
      <c r="H27" s="211" t="s">
        <v>1439</v>
      </c>
      <c r="I27" s="213"/>
      <c r="J27" s="157"/>
      <c r="K27" s="157"/>
      <c r="L27" s="157"/>
    </row>
    <row r="28" spans="2:14">
      <c r="B28" s="159">
        <v>7</v>
      </c>
      <c r="C28" s="155" t="s">
        <v>1460</v>
      </c>
      <c r="D28" s="159" t="s">
        <v>1453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1473</v>
      </c>
      <c r="D29" s="159" t="s">
        <v>1451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27" t="s">
        <v>9</v>
      </c>
      <c r="E34" s="228"/>
      <c r="F34" s="228"/>
      <c r="G34" s="229"/>
      <c r="H34" s="35" t="s">
        <v>10</v>
      </c>
      <c r="I34" s="37" t="s">
        <v>191</v>
      </c>
    </row>
    <row r="35" spans="2:9">
      <c r="B35" s="231" t="s">
        <v>6</v>
      </c>
      <c r="C35" s="8" t="s">
        <v>11</v>
      </c>
      <c r="D35" s="255" t="s">
        <v>12</v>
      </c>
      <c r="E35" s="255"/>
      <c r="F35" s="255"/>
      <c r="G35" s="255"/>
      <c r="H35" s="35" t="s">
        <v>13</v>
      </c>
      <c r="I35" s="37" t="s">
        <v>192</v>
      </c>
    </row>
    <row r="36" spans="2:9" ht="56.25" customHeight="1">
      <c r="B36" s="231"/>
      <c r="C36" s="8" t="s">
        <v>14</v>
      </c>
      <c r="D36" s="255" t="s">
        <v>15</v>
      </c>
      <c r="E36" s="255"/>
      <c r="F36" s="255"/>
      <c r="G36" s="255"/>
      <c r="H36" s="35" t="s">
        <v>16</v>
      </c>
      <c r="I36" s="37" t="s">
        <v>193</v>
      </c>
    </row>
    <row r="37" spans="2:9" ht="22.5" customHeight="1">
      <c r="B37" s="231"/>
      <c r="C37" s="8" t="s">
        <v>17</v>
      </c>
      <c r="D37" s="255" t="s">
        <v>18</v>
      </c>
      <c r="E37" s="255"/>
      <c r="F37" s="255"/>
      <c r="G37" s="255"/>
      <c r="H37" s="35" t="s">
        <v>19</v>
      </c>
      <c r="I37" s="37" t="s">
        <v>194</v>
      </c>
    </row>
    <row r="38" spans="2:9">
      <c r="B38" s="231"/>
      <c r="C38" s="8" t="s">
        <v>77</v>
      </c>
      <c r="D38" s="227" t="s">
        <v>20</v>
      </c>
      <c r="E38" s="228"/>
      <c r="F38" s="228"/>
      <c r="G38" s="229"/>
      <c r="H38" s="35" t="s">
        <v>21</v>
      </c>
      <c r="I38" s="37" t="s">
        <v>195</v>
      </c>
    </row>
    <row r="39" spans="2:9" ht="22.5" customHeight="1">
      <c r="B39" s="231"/>
      <c r="C39" s="8" t="s">
        <v>22</v>
      </c>
      <c r="D39" s="227" t="s">
        <v>23</v>
      </c>
      <c r="E39" s="228"/>
      <c r="F39" s="228"/>
      <c r="G39" s="229"/>
      <c r="H39" s="35" t="s">
        <v>24</v>
      </c>
      <c r="I39" s="37" t="s">
        <v>196</v>
      </c>
    </row>
    <row r="40" spans="2:9" ht="33.75" customHeight="1">
      <c r="B40" s="231" t="s">
        <v>25</v>
      </c>
      <c r="C40" s="231" t="s">
        <v>203</v>
      </c>
      <c r="D40" s="227" t="s">
        <v>26</v>
      </c>
      <c r="E40" s="228"/>
      <c r="F40" s="228"/>
      <c r="G40" s="229"/>
      <c r="H40" s="232" t="s">
        <v>16</v>
      </c>
      <c r="I40" s="222" t="s">
        <v>197</v>
      </c>
    </row>
    <row r="41" spans="2:9">
      <c r="B41" s="231"/>
      <c r="C41" s="231"/>
      <c r="D41" s="227" t="s">
        <v>27</v>
      </c>
      <c r="E41" s="228"/>
      <c r="F41" s="228"/>
      <c r="G41" s="229"/>
      <c r="H41" s="232"/>
      <c r="I41" s="223"/>
    </row>
    <row r="42" spans="2:9" ht="33.75" customHeight="1">
      <c r="B42" s="231"/>
      <c r="C42" s="231" t="s">
        <v>204</v>
      </c>
      <c r="D42" s="227" t="s">
        <v>26</v>
      </c>
      <c r="E42" s="228"/>
      <c r="F42" s="228"/>
      <c r="G42" s="229"/>
      <c r="H42" s="232" t="s">
        <v>24</v>
      </c>
      <c r="I42" s="222" t="s">
        <v>198</v>
      </c>
    </row>
    <row r="43" spans="2:9">
      <c r="B43" s="231"/>
      <c r="C43" s="231"/>
      <c r="D43" s="227" t="s">
        <v>28</v>
      </c>
      <c r="E43" s="228"/>
      <c r="F43" s="228"/>
      <c r="G43" s="229"/>
      <c r="H43" s="232"/>
      <c r="I43" s="223"/>
    </row>
    <row r="44" spans="2:9" ht="22.5" customHeight="1">
      <c r="B44" s="231"/>
      <c r="C44" s="10" t="s">
        <v>29</v>
      </c>
      <c r="D44" s="234" t="s">
        <v>30</v>
      </c>
      <c r="E44" s="235"/>
      <c r="F44" s="235"/>
      <c r="G44" s="236"/>
      <c r="H44" s="38" t="s">
        <v>16</v>
      </c>
      <c r="I44" s="39" t="s">
        <v>199</v>
      </c>
    </row>
    <row r="45" spans="2:9">
      <c r="B45" s="231" t="s">
        <v>31</v>
      </c>
      <c r="C45" s="8" t="s">
        <v>92</v>
      </c>
      <c r="D45" s="227" t="s">
        <v>32</v>
      </c>
      <c r="E45" s="228"/>
      <c r="F45" s="228"/>
      <c r="G45" s="229"/>
      <c r="H45" s="35" t="s">
        <v>33</v>
      </c>
      <c r="I45" s="224" t="s">
        <v>202</v>
      </c>
    </row>
    <row r="46" spans="2:9">
      <c r="B46" s="231"/>
      <c r="C46" s="231" t="s">
        <v>229</v>
      </c>
      <c r="D46" s="227" t="s">
        <v>32</v>
      </c>
      <c r="E46" s="228"/>
      <c r="F46" s="228"/>
      <c r="G46" s="229"/>
      <c r="H46" s="232" t="s">
        <v>34</v>
      </c>
      <c r="I46" s="225"/>
    </row>
    <row r="47" spans="2:9">
      <c r="B47" s="231"/>
      <c r="C47" s="231"/>
      <c r="D47" s="227"/>
      <c r="E47" s="228"/>
      <c r="F47" s="228"/>
      <c r="G47" s="229"/>
      <c r="H47" s="232"/>
      <c r="I47" s="225"/>
    </row>
    <row r="48" spans="2:9" ht="33.75" customHeight="1">
      <c r="B48" s="231"/>
      <c r="C48" s="231"/>
      <c r="D48" s="238" t="s">
        <v>73</v>
      </c>
      <c r="E48" s="239"/>
      <c r="F48" s="239"/>
      <c r="G48" s="240"/>
      <c r="H48" s="232"/>
      <c r="I48" s="225"/>
    </row>
    <row r="49" spans="2:9">
      <c r="B49" s="231"/>
      <c r="C49" s="231"/>
      <c r="D49" s="238"/>
      <c r="E49" s="239"/>
      <c r="F49" s="239"/>
      <c r="G49" s="240"/>
      <c r="H49" s="232"/>
      <c r="I49" s="225"/>
    </row>
    <row r="50" spans="2:9" ht="45" customHeight="1">
      <c r="B50" s="231"/>
      <c r="C50" s="231"/>
      <c r="D50" s="238" t="s">
        <v>74</v>
      </c>
      <c r="E50" s="239"/>
      <c r="F50" s="239"/>
      <c r="G50" s="240"/>
      <c r="H50" s="232"/>
      <c r="I50" s="225"/>
    </row>
    <row r="51" spans="2:9" ht="45" customHeight="1">
      <c r="B51" s="231"/>
      <c r="C51" s="10" t="s">
        <v>35</v>
      </c>
      <c r="D51" s="241" t="s">
        <v>36</v>
      </c>
      <c r="E51" s="242"/>
      <c r="F51" s="242"/>
      <c r="G51" s="243"/>
      <c r="H51" s="36" t="s">
        <v>91</v>
      </c>
      <c r="I51" s="225"/>
    </row>
    <row r="52" spans="2:9">
      <c r="B52" s="8" t="s">
        <v>37</v>
      </c>
      <c r="C52" s="8" t="s">
        <v>38</v>
      </c>
      <c r="D52" s="227" t="s">
        <v>39</v>
      </c>
      <c r="E52" s="228"/>
      <c r="F52" s="228"/>
      <c r="G52" s="229"/>
      <c r="H52" s="35" t="s">
        <v>40</v>
      </c>
      <c r="I52" s="225"/>
    </row>
    <row r="53" spans="2:9">
      <c r="B53" s="250" t="s">
        <v>31</v>
      </c>
      <c r="C53" s="231" t="s">
        <v>41</v>
      </c>
      <c r="D53" s="227" t="s">
        <v>39</v>
      </c>
      <c r="E53" s="228"/>
      <c r="F53" s="228"/>
      <c r="G53" s="229"/>
      <c r="H53" s="232" t="s">
        <v>42</v>
      </c>
      <c r="I53" s="225"/>
    </row>
    <row r="54" spans="2:9">
      <c r="B54" s="251"/>
      <c r="C54" s="231"/>
      <c r="D54" s="227"/>
      <c r="E54" s="228"/>
      <c r="F54" s="228"/>
      <c r="G54" s="229"/>
      <c r="H54" s="232"/>
      <c r="I54" s="225"/>
    </row>
    <row r="55" spans="2:9" ht="33.75" customHeight="1">
      <c r="B55" s="251"/>
      <c r="C55" s="231"/>
      <c r="D55" s="238" t="s">
        <v>75</v>
      </c>
      <c r="E55" s="239"/>
      <c r="F55" s="239"/>
      <c r="G55" s="240"/>
      <c r="H55" s="232"/>
      <c r="I55" s="225"/>
    </row>
    <row r="56" spans="2:9">
      <c r="B56" s="251"/>
      <c r="C56" s="231"/>
      <c r="D56" s="238"/>
      <c r="E56" s="239"/>
      <c r="F56" s="239"/>
      <c r="G56" s="240"/>
      <c r="H56" s="232"/>
      <c r="I56" s="225"/>
    </row>
    <row r="57" spans="2:9" ht="45" customHeight="1">
      <c r="B57" s="251"/>
      <c r="C57" s="231"/>
      <c r="D57" s="238" t="s">
        <v>74</v>
      </c>
      <c r="E57" s="239"/>
      <c r="F57" s="239"/>
      <c r="G57" s="240"/>
      <c r="H57" s="232"/>
      <c r="I57" s="225"/>
    </row>
    <row r="58" spans="2:9" ht="45" customHeight="1">
      <c r="B58" s="252"/>
      <c r="C58" s="8" t="s">
        <v>43</v>
      </c>
      <c r="D58" s="227" t="s">
        <v>44</v>
      </c>
      <c r="E58" s="228"/>
      <c r="F58" s="228"/>
      <c r="G58" s="229"/>
      <c r="H58" s="35"/>
      <c r="I58" s="226"/>
    </row>
    <row r="59" spans="2:9">
      <c r="B59" s="231" t="s">
        <v>45</v>
      </c>
      <c r="C59" s="10" t="s">
        <v>46</v>
      </c>
      <c r="D59" s="241" t="s">
        <v>32</v>
      </c>
      <c r="E59" s="242"/>
      <c r="F59" s="242"/>
      <c r="G59" s="243"/>
      <c r="H59" s="36" t="s">
        <v>47</v>
      </c>
      <c r="I59" s="37"/>
    </row>
    <row r="60" spans="2:9">
      <c r="B60" s="231"/>
      <c r="C60" s="237" t="s">
        <v>48</v>
      </c>
      <c r="D60" s="241" t="s">
        <v>32</v>
      </c>
      <c r="E60" s="242"/>
      <c r="F60" s="242"/>
      <c r="G60" s="243"/>
      <c r="H60" s="233" t="s">
        <v>49</v>
      </c>
      <c r="I60" s="37"/>
    </row>
    <row r="61" spans="2:9">
      <c r="B61" s="231"/>
      <c r="C61" s="237"/>
      <c r="D61" s="241"/>
      <c r="E61" s="242"/>
      <c r="F61" s="242"/>
      <c r="G61" s="243"/>
      <c r="H61" s="233"/>
      <c r="I61" s="37"/>
    </row>
    <row r="62" spans="2:9" ht="33.75" customHeight="1">
      <c r="B62" s="231"/>
      <c r="C62" s="237"/>
      <c r="D62" s="247" t="s">
        <v>200</v>
      </c>
      <c r="E62" s="248"/>
      <c r="F62" s="248"/>
      <c r="G62" s="249"/>
      <c r="H62" s="233"/>
      <c r="I62" s="37"/>
    </row>
    <row r="63" spans="2:9">
      <c r="B63" s="231"/>
      <c r="C63" s="237"/>
      <c r="D63" s="247"/>
      <c r="E63" s="248"/>
      <c r="F63" s="248"/>
      <c r="G63" s="249"/>
      <c r="H63" s="233"/>
      <c r="I63" s="37"/>
    </row>
    <row r="64" spans="2:9" ht="45" customHeight="1">
      <c r="B64" s="231"/>
      <c r="C64" s="237"/>
      <c r="D64" s="247" t="s">
        <v>201</v>
      </c>
      <c r="E64" s="248"/>
      <c r="F64" s="248"/>
      <c r="G64" s="249"/>
      <c r="H64" s="233"/>
      <c r="I64" s="37"/>
    </row>
    <row r="65" spans="2:9" ht="45" customHeight="1">
      <c r="B65" s="231"/>
      <c r="C65" s="10" t="s">
        <v>50</v>
      </c>
      <c r="D65" s="241" t="s">
        <v>36</v>
      </c>
      <c r="E65" s="242"/>
      <c r="F65" s="242"/>
      <c r="G65" s="243"/>
      <c r="H65" s="36"/>
      <c r="I65" s="37"/>
    </row>
    <row r="66" spans="2:9" ht="22.5" customHeight="1">
      <c r="B66" s="231" t="s">
        <v>51</v>
      </c>
      <c r="C66" s="10" t="s">
        <v>52</v>
      </c>
      <c r="D66" s="241" t="s">
        <v>53</v>
      </c>
      <c r="E66" s="242"/>
      <c r="F66" s="242"/>
      <c r="G66" s="243"/>
      <c r="H66" s="36" t="s">
        <v>24</v>
      </c>
      <c r="I66" s="37"/>
    </row>
    <row r="67" spans="2:9" ht="22.5" customHeight="1">
      <c r="B67" s="231"/>
      <c r="C67" s="10" t="s">
        <v>54</v>
      </c>
      <c r="D67" s="241" t="s">
        <v>55</v>
      </c>
      <c r="E67" s="242"/>
      <c r="F67" s="242"/>
      <c r="G67" s="243"/>
      <c r="H67" s="36" t="s">
        <v>16</v>
      </c>
      <c r="I67" s="37"/>
    </row>
    <row r="68" spans="2:9" ht="78.75" customHeight="1">
      <c r="B68" s="231" t="s">
        <v>56</v>
      </c>
      <c r="C68" s="10" t="s">
        <v>57</v>
      </c>
      <c r="D68" s="241" t="s">
        <v>58</v>
      </c>
      <c r="E68" s="242"/>
      <c r="F68" s="242"/>
      <c r="G68" s="243"/>
      <c r="H68" s="36" t="s">
        <v>24</v>
      </c>
      <c r="I68" s="37"/>
    </row>
    <row r="69" spans="2:9" ht="45" customHeight="1">
      <c r="B69" s="231"/>
      <c r="C69" s="10" t="s">
        <v>59</v>
      </c>
      <c r="D69" s="241" t="s">
        <v>60</v>
      </c>
      <c r="E69" s="242"/>
      <c r="F69" s="242"/>
      <c r="G69" s="243"/>
      <c r="H69" s="36" t="s">
        <v>16</v>
      </c>
      <c r="I69" s="37"/>
    </row>
  </sheetData>
  <mergeCells count="58"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0343-D198-47F2-9E2D-66B6F4BD36F0}">
  <sheetPr codeName="Sheet30"/>
  <dimension ref="A1:F7"/>
  <sheetViews>
    <sheetView tabSelected="1" workbookViewId="0">
      <selection activeCell="D6" sqref="D6"/>
    </sheetView>
  </sheetViews>
  <sheetFormatPr defaultRowHeight="16.5"/>
  <sheetData>
    <row r="1" spans="1:6">
      <c r="A1" s="134" t="s">
        <v>1493</v>
      </c>
      <c r="B1" s="134" t="s">
        <v>1494</v>
      </c>
      <c r="C1" s="134" t="s">
        <v>1495</v>
      </c>
      <c r="D1" s="134" t="s">
        <v>1502</v>
      </c>
      <c r="E1" s="134" t="s">
        <v>1503</v>
      </c>
      <c r="F1" s="134" t="s">
        <v>1504</v>
      </c>
    </row>
    <row r="2" spans="1:6">
      <c r="A2" s="134" t="s">
        <v>540</v>
      </c>
      <c r="B2" s="134" t="s">
        <v>1496</v>
      </c>
      <c r="C2" s="138" t="s">
        <v>1497</v>
      </c>
      <c r="D2" s="138" t="s">
        <v>1497</v>
      </c>
      <c r="E2" s="138" t="s">
        <v>1497</v>
      </c>
      <c r="F2" s="138" t="s">
        <v>1497</v>
      </c>
    </row>
    <row r="3" spans="1:6">
      <c r="A3" s="134" t="s">
        <v>541</v>
      </c>
      <c r="B3" s="134" t="s">
        <v>203</v>
      </c>
      <c r="C3" s="134" t="s">
        <v>541</v>
      </c>
      <c r="D3" s="134" t="s">
        <v>541</v>
      </c>
      <c r="E3" s="134" t="s">
        <v>541</v>
      </c>
      <c r="F3" s="134" t="s">
        <v>541</v>
      </c>
    </row>
    <row r="4" spans="1:6">
      <c r="A4" s="119" t="s">
        <v>1498</v>
      </c>
      <c r="B4" s="119"/>
      <c r="C4" s="119"/>
      <c r="D4" s="119"/>
      <c r="E4" s="119"/>
      <c r="F4" s="119"/>
    </row>
    <row r="5" spans="1:6">
      <c r="A5" s="135">
        <v>1</v>
      </c>
      <c r="B5" s="135">
        <f>A5</f>
        <v>1</v>
      </c>
      <c r="C5" s="135">
        <v>2</v>
      </c>
      <c r="D5" s="135">
        <v>2</v>
      </c>
      <c r="E5" s="135">
        <v>0</v>
      </c>
      <c r="F5" s="135">
        <v>0</v>
      </c>
    </row>
    <row r="6" spans="1:6">
      <c r="A6" s="135">
        <v>2</v>
      </c>
      <c r="B6" s="135">
        <f>B5+1</f>
        <v>2</v>
      </c>
      <c r="C6" s="135">
        <v>30</v>
      </c>
      <c r="D6" s="135">
        <f>C6+10</f>
        <v>40</v>
      </c>
      <c r="E6" s="135">
        <f>D6+10</f>
        <v>50</v>
      </c>
      <c r="F6" s="135">
        <f>E6+10</f>
        <v>60</v>
      </c>
    </row>
    <row r="7" spans="1:6">
      <c r="A7" s="135">
        <v>3</v>
      </c>
      <c r="B7" s="135">
        <f t="shared" ref="B7" si="0">B6+1</f>
        <v>3</v>
      </c>
      <c r="C7" s="135">
        <v>40</v>
      </c>
      <c r="D7" s="135">
        <f>C7+10</f>
        <v>50</v>
      </c>
      <c r="E7" s="135">
        <f>D7+10</f>
        <v>60</v>
      </c>
      <c r="F7" s="135">
        <f>E7+10</f>
        <v>70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C3F8A-3C0E-4F12-A844-C6AFE6892E02}">
  <sheetPr codeName="Sheet31"/>
  <dimension ref="A1:C7"/>
  <sheetViews>
    <sheetView workbookViewId="0">
      <selection sqref="A1:C8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2</v>
      </c>
      <c r="C5" s="135">
        <v>20</v>
      </c>
    </row>
    <row r="6" spans="1:3">
      <c r="A6" s="135">
        <v>2</v>
      </c>
      <c r="B6" s="135">
        <v>3</v>
      </c>
      <c r="C6" s="135">
        <v>40</v>
      </c>
    </row>
    <row r="7" spans="1:3">
      <c r="A7" s="135">
        <v>3</v>
      </c>
      <c r="B7" s="135">
        <v>4</v>
      </c>
      <c r="C7" s="135">
        <v>50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01B6D-6F08-418B-949B-39970CAD2840}">
  <sheetPr codeName="Sheet32"/>
  <dimension ref="A1:C7"/>
  <sheetViews>
    <sheetView workbookViewId="0">
      <selection activeCell="G12" sqref="G12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5</v>
      </c>
      <c r="C5" s="135">
        <v>50</v>
      </c>
    </row>
    <row r="6" spans="1:3">
      <c r="A6" s="135">
        <v>2</v>
      </c>
      <c r="B6" s="135">
        <v>6</v>
      </c>
      <c r="C6" s="135">
        <v>70</v>
      </c>
    </row>
    <row r="7" spans="1:3">
      <c r="A7" s="135">
        <v>3</v>
      </c>
      <c r="B7" s="135">
        <v>7</v>
      </c>
      <c r="C7" s="135">
        <v>80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zoomScale="85" zoomScaleNormal="85" workbookViewId="0">
      <pane ySplit="3" topLeftCell="A4" activePane="bottomLeft" state="frozen"/>
      <selection activeCell="AC80" sqref="AC79:AC80"/>
      <selection pane="bottomLeft" sqref="A1:C7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1474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1475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1475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1476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1476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1476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1477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1477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1477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1477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1478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1478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1478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1478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1478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1478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1478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1478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1478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1478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1478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1478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1478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1478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1478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1478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6" activePane="bottomLeft" state="frozen"/>
      <selection activeCell="AC80" sqref="AC79:AC80"/>
      <selection pane="bottomLeft" activeCell="D75" sqref="D7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1424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1422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1423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D18" sqref="D1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0.33100000000000002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1416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1417</v>
      </c>
      <c r="D12" s="135">
        <v>10</v>
      </c>
      <c r="E12" s="115" t="s">
        <v>1432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1418</v>
      </c>
      <c r="D13" s="135">
        <v>10</v>
      </c>
      <c r="E13" s="115" t="s">
        <v>1433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1419</v>
      </c>
      <c r="D14" s="135">
        <v>20</v>
      </c>
      <c r="E14" s="115" t="s">
        <v>1434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1420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1421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1482</v>
      </c>
      <c r="D17" s="135">
        <v>110</v>
      </c>
      <c r="E17" s="115" t="s">
        <v>1483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1425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1426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1427</v>
      </c>
      <c r="D28" s="135">
        <v>300</v>
      </c>
      <c r="E28" s="115" t="s">
        <v>1429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1428</v>
      </c>
      <c r="C29" s="135" t="s">
        <v>1430</v>
      </c>
      <c r="D29" s="133">
        <v>30</v>
      </c>
      <c r="E29" s="135" t="s">
        <v>1431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1426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N36"/>
  <sheetViews>
    <sheetView workbookViewId="0">
      <selection activeCell="E16" sqref="E16"/>
    </sheetView>
  </sheetViews>
  <sheetFormatPr defaultRowHeight="13.5"/>
  <cols>
    <col min="1" max="1" width="4.375" style="12" customWidth="1"/>
    <col min="2" max="14" width="18.875" style="12" customWidth="1"/>
    <col min="15" max="16384" width="9" style="12"/>
  </cols>
  <sheetData>
    <row r="2" spans="2:14">
      <c r="B2" s="12" t="s">
        <v>1468</v>
      </c>
      <c r="F2" s="12" t="s">
        <v>1471</v>
      </c>
    </row>
    <row r="3" spans="2:14">
      <c r="B3" s="13" t="s">
        <v>655</v>
      </c>
      <c r="C3" s="13"/>
      <c r="D3" s="13"/>
      <c r="E3" s="13"/>
      <c r="F3" s="12" t="s">
        <v>1472</v>
      </c>
      <c r="G3" s="13"/>
      <c r="H3" s="13"/>
      <c r="I3" s="13"/>
      <c r="J3" s="13"/>
      <c r="K3" s="13"/>
      <c r="L3" s="13"/>
      <c r="M3" s="13"/>
    </row>
    <row r="4" spans="2:14">
      <c r="B4" s="12" t="s">
        <v>656</v>
      </c>
      <c r="F4" s="12" t="s">
        <v>1469</v>
      </c>
    </row>
    <row r="5" spans="2:14">
      <c r="B5" s="12" t="s">
        <v>657</v>
      </c>
    </row>
    <row r="7" spans="2:14">
      <c r="B7" s="98" t="s">
        <v>1470</v>
      </c>
      <c r="C7" s="98" t="s">
        <v>1461</v>
      </c>
      <c r="D7" s="98" t="s">
        <v>1462</v>
      </c>
      <c r="E7" s="98" t="s">
        <v>1484</v>
      </c>
      <c r="F7" s="98" t="s">
        <v>1485</v>
      </c>
      <c r="G7" s="98" t="s">
        <v>1486</v>
      </c>
      <c r="H7" s="98" t="s">
        <v>1487</v>
      </c>
      <c r="I7" s="98" t="s">
        <v>1488</v>
      </c>
      <c r="J7" s="98" t="s">
        <v>1489</v>
      </c>
      <c r="K7" s="98" t="s">
        <v>1490</v>
      </c>
      <c r="L7" s="98" t="s">
        <v>1491</v>
      </c>
      <c r="M7" s="98" t="s">
        <v>1463</v>
      </c>
      <c r="N7" s="98" t="s">
        <v>1464</v>
      </c>
    </row>
    <row r="8" spans="2:14">
      <c r="B8" s="197" t="s">
        <v>1373</v>
      </c>
      <c r="C8" s="197" t="s">
        <v>1233</v>
      </c>
      <c r="D8" s="197" t="s">
        <v>1374</v>
      </c>
      <c r="E8" s="98" t="s">
        <v>1465</v>
      </c>
      <c r="F8" s="98" t="s">
        <v>1466</v>
      </c>
      <c r="G8" s="98" t="s">
        <v>1467</v>
      </c>
      <c r="H8" s="98" t="s">
        <v>110</v>
      </c>
      <c r="I8" s="98" t="s">
        <v>1492</v>
      </c>
      <c r="J8" s="98" t="s">
        <v>1499</v>
      </c>
      <c r="K8" s="98" t="s">
        <v>1500</v>
      </c>
      <c r="L8" s="98" t="s">
        <v>1501</v>
      </c>
      <c r="M8" s="197" t="s">
        <v>1233</v>
      </c>
      <c r="N8" s="197" t="s">
        <v>1374</v>
      </c>
    </row>
    <row r="9" spans="2:14">
      <c r="B9" s="214"/>
      <c r="C9" s="98"/>
      <c r="D9" s="98"/>
      <c r="E9" s="98"/>
      <c r="F9" s="98"/>
      <c r="G9" s="98"/>
      <c r="H9" s="98"/>
      <c r="I9" s="98"/>
      <c r="J9" s="98"/>
      <c r="K9" s="98"/>
      <c r="L9" s="98"/>
      <c r="M9" s="98" t="s">
        <v>1465</v>
      </c>
      <c r="N9" s="98" t="s">
        <v>1466</v>
      </c>
    </row>
    <row r="10" spans="2:14">
      <c r="B10" s="214"/>
      <c r="C10" s="98"/>
      <c r="D10" s="192"/>
      <c r="E10" s="98"/>
      <c r="F10" s="192"/>
      <c r="G10" s="192"/>
      <c r="H10" s="192"/>
      <c r="I10" s="192"/>
      <c r="J10" s="192"/>
      <c r="K10" s="192"/>
      <c r="L10" s="192"/>
      <c r="M10" s="98" t="s">
        <v>1467</v>
      </c>
      <c r="N10" s="192"/>
    </row>
    <row r="11" spans="2:14">
      <c r="B11" s="215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</row>
    <row r="12" spans="2:14">
      <c r="B12" s="215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</row>
    <row r="13" spans="2:14">
      <c r="B13" s="215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</row>
    <row r="14" spans="2:14">
      <c r="B14" s="215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</row>
    <row r="15" spans="2:14">
      <c r="B15" s="215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</row>
    <row r="16" spans="2:14">
      <c r="B16" s="216"/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98"/>
    </row>
    <row r="17" spans="2:14">
      <c r="B17" s="215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</row>
    <row r="18" spans="2:14">
      <c r="B18" s="215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</row>
    <row r="19" spans="2:14">
      <c r="B19" s="215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</row>
    <row r="20" spans="2:14">
      <c r="B20" s="215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</row>
    <row r="21" spans="2:14">
      <c r="B21" s="215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</row>
    <row r="22" spans="2:14">
      <c r="B22" s="215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</row>
    <row r="23" spans="2:14">
      <c r="B23" s="215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</row>
    <row r="24" spans="2:14">
      <c r="B24" s="215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</row>
    <row r="25" spans="2:14">
      <c r="B25" s="215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</row>
    <row r="26" spans="2:14">
      <c r="B26" s="215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</row>
    <row r="27" spans="2:14">
      <c r="B27" s="215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</row>
    <row r="28" spans="2:14">
      <c r="B28" s="215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</row>
    <row r="29" spans="2:14">
      <c r="B29" s="215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</row>
    <row r="30" spans="2:14">
      <c r="B30" s="215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</row>
    <row r="31" spans="2:14">
      <c r="B31" s="215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</row>
    <row r="32" spans="2:14">
      <c r="B32" s="215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</row>
    <row r="33" spans="2:14">
      <c r="B33" s="215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</row>
    <row r="34" spans="2:14">
      <c r="B34" s="215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</row>
    <row r="35" spans="2:14">
      <c r="B35" s="215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</row>
    <row r="36" spans="2:14">
      <c r="B36" s="215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9" t="s">
        <v>184</v>
      </c>
      <c r="C5" s="33" t="s">
        <v>205</v>
      </c>
      <c r="D5" s="256" t="s">
        <v>185</v>
      </c>
      <c r="E5" s="257"/>
      <c r="F5" s="256" t="s">
        <v>186</v>
      </c>
      <c r="G5" s="258"/>
      <c r="H5" s="257"/>
      <c r="I5" s="261" t="s">
        <v>187</v>
      </c>
    </row>
    <row r="6" spans="1:9" ht="14.25" thickBot="1">
      <c r="B6" s="260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62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4" t="s">
        <v>269</v>
      </c>
      <c r="F2" s="265" t="s">
        <v>270</v>
      </c>
      <c r="G2" s="265"/>
      <c r="H2" s="265"/>
      <c r="I2" s="265"/>
      <c r="J2" s="265"/>
      <c r="K2" s="265"/>
      <c r="L2" s="265"/>
      <c r="M2" s="265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4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6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7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7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7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7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7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7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7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7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7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7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7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7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7"/>
      <c r="Q16" s="106" t="s">
        <v>358</v>
      </c>
      <c r="R16" s="102" t="s">
        <v>359</v>
      </c>
    </row>
    <row r="17" spans="16:18" ht="19.5" customHeight="1">
      <c r="P17" s="267"/>
      <c r="Q17" s="106" t="s">
        <v>298</v>
      </c>
      <c r="R17" s="102" t="s">
        <v>360</v>
      </c>
    </row>
    <row r="18" spans="16:18" ht="19.5" customHeight="1">
      <c r="P18" s="267"/>
      <c r="Q18" s="106" t="s">
        <v>361</v>
      </c>
      <c r="R18" s="102" t="s">
        <v>362</v>
      </c>
    </row>
    <row r="19" spans="16:18" ht="19.5" customHeight="1">
      <c r="P19" s="267"/>
      <c r="Q19" s="104" t="s">
        <v>347</v>
      </c>
      <c r="R19" s="105" t="s">
        <v>363</v>
      </c>
    </row>
    <row r="20" spans="16:18" ht="19.5" customHeight="1">
      <c r="P20" s="267"/>
      <c r="Q20" s="106" t="s">
        <v>364</v>
      </c>
      <c r="R20" s="102" t="s">
        <v>365</v>
      </c>
    </row>
    <row r="21" spans="16:18" ht="19.5" customHeight="1">
      <c r="P21" s="267"/>
      <c r="Q21" s="104" t="s">
        <v>364</v>
      </c>
      <c r="R21" s="105" t="s">
        <v>366</v>
      </c>
    </row>
    <row r="22" spans="16:18" ht="19.5" customHeight="1">
      <c r="P22" s="267"/>
      <c r="Q22" s="108" t="s">
        <v>367</v>
      </c>
      <c r="R22" s="109" t="s">
        <v>368</v>
      </c>
    </row>
    <row r="23" spans="16:18" ht="19.5" customHeight="1">
      <c r="P23" s="267"/>
      <c r="Q23" s="108" t="s">
        <v>369</v>
      </c>
      <c r="R23" s="109" t="s">
        <v>370</v>
      </c>
    </row>
    <row r="24" spans="16:18" ht="19.5" customHeight="1">
      <c r="P24" s="267"/>
      <c r="Q24" s="108" t="s">
        <v>371</v>
      </c>
      <c r="R24" s="109" t="s">
        <v>372</v>
      </c>
    </row>
    <row r="25" spans="16:18" ht="19.5" customHeight="1">
      <c r="P25" s="267"/>
    </row>
    <row r="26" spans="16:18" ht="19.5" customHeight="1">
      <c r="P26" s="267"/>
      <c r="Q26" s="106" t="s">
        <v>373</v>
      </c>
      <c r="R26" s="102" t="s">
        <v>374</v>
      </c>
    </row>
    <row r="27" spans="16:18" ht="19.5" customHeight="1">
      <c r="P27" s="267"/>
      <c r="Q27" s="108" t="s">
        <v>299</v>
      </c>
      <c r="R27" s="109" t="s">
        <v>300</v>
      </c>
    </row>
    <row r="28" spans="16:18" ht="19.5" customHeight="1">
      <c r="P28" s="267"/>
      <c r="Q28" s="104" t="s">
        <v>296</v>
      </c>
      <c r="R28" s="105" t="s">
        <v>301</v>
      </c>
    </row>
    <row r="29" spans="16:18" ht="19.5" customHeight="1">
      <c r="P29" s="267"/>
      <c r="Q29" s="107"/>
      <c r="R29" s="106"/>
    </row>
    <row r="30" spans="16:18" ht="19.5" customHeight="1">
      <c r="P30" s="267"/>
      <c r="Q30" s="106" t="s">
        <v>375</v>
      </c>
      <c r="R30" s="102" t="s">
        <v>302</v>
      </c>
    </row>
    <row r="31" spans="16:18" ht="19.5" customHeight="1">
      <c r="P31" s="267"/>
      <c r="Q31" s="108" t="s">
        <v>376</v>
      </c>
      <c r="R31" s="109" t="s">
        <v>377</v>
      </c>
    </row>
    <row r="32" spans="16:18" ht="19.5" customHeight="1">
      <c r="P32" s="267"/>
      <c r="Q32" s="106" t="s">
        <v>303</v>
      </c>
      <c r="R32" s="102" t="s">
        <v>378</v>
      </c>
    </row>
    <row r="33" spans="16:18" ht="19.5" customHeight="1">
      <c r="P33" s="267"/>
      <c r="Q33" s="110" t="s">
        <v>379</v>
      </c>
      <c r="R33" s="109" t="s">
        <v>380</v>
      </c>
    </row>
    <row r="34" spans="16:18" ht="19.5" customHeight="1">
      <c r="P34" s="267"/>
      <c r="Q34" s="107"/>
      <c r="R34" s="106"/>
    </row>
    <row r="35" spans="16:18" ht="19.5" customHeight="1">
      <c r="P35" s="267"/>
      <c r="Q35" s="106" t="s">
        <v>381</v>
      </c>
      <c r="R35" s="102" t="s">
        <v>304</v>
      </c>
    </row>
    <row r="36" spans="16:18" ht="19.5" customHeight="1">
      <c r="P36" s="267"/>
      <c r="Q36" s="108" t="s">
        <v>382</v>
      </c>
      <c r="R36" s="109" t="s">
        <v>383</v>
      </c>
    </row>
    <row r="37" spans="16:18" ht="19.5" customHeight="1">
      <c r="P37" s="267"/>
      <c r="Q37" s="106" t="s">
        <v>305</v>
      </c>
      <c r="R37" s="102" t="s">
        <v>384</v>
      </c>
    </row>
    <row r="38" spans="16:18" ht="19.5" customHeight="1">
      <c r="P38" s="267"/>
      <c r="Q38" s="110" t="s">
        <v>385</v>
      </c>
      <c r="R38" s="109" t="s">
        <v>386</v>
      </c>
    </row>
    <row r="39" spans="16:18" ht="19.5" customHeight="1">
      <c r="P39" s="267"/>
      <c r="Q39" s="107"/>
      <c r="R39" s="106"/>
    </row>
    <row r="40" spans="16:18" ht="19.5" customHeight="1">
      <c r="P40" s="267"/>
      <c r="Q40" s="106" t="s">
        <v>387</v>
      </c>
      <c r="R40" s="102" t="s">
        <v>306</v>
      </c>
    </row>
    <row r="41" spans="16:18" ht="19.5" customHeight="1">
      <c r="P41" s="268"/>
      <c r="Q41" s="108" t="s">
        <v>307</v>
      </c>
      <c r="R41" s="109" t="s">
        <v>308</v>
      </c>
    </row>
    <row r="42" spans="16:18" ht="19.5" customHeight="1"/>
    <row r="43" spans="16:18" ht="19.5" customHeight="1">
      <c r="P43" s="263" t="s">
        <v>388</v>
      </c>
      <c r="Q43" s="102" t="s">
        <v>389</v>
      </c>
      <c r="R43" s="102" t="s">
        <v>390</v>
      </c>
    </row>
    <row r="44" spans="16:18" ht="19.5" customHeight="1">
      <c r="P44" s="263"/>
      <c r="Q44" s="114" t="s">
        <v>389</v>
      </c>
      <c r="R44" s="105" t="s">
        <v>391</v>
      </c>
    </row>
    <row r="45" spans="16:18" ht="19.5" customHeight="1">
      <c r="P45" s="263"/>
      <c r="Q45" s="102" t="s">
        <v>392</v>
      </c>
      <c r="R45" s="111" t="s">
        <v>393</v>
      </c>
    </row>
    <row r="46" spans="16:18" ht="19.5" customHeight="1">
      <c r="P46" s="263"/>
      <c r="Q46" s="114" t="s">
        <v>392</v>
      </c>
      <c r="R46" s="105" t="s">
        <v>309</v>
      </c>
    </row>
    <row r="47" spans="16:18" ht="19.5" customHeight="1"/>
    <row r="48" spans="16:18" ht="19.5" customHeight="1">
      <c r="P48" s="263" t="s">
        <v>394</v>
      </c>
      <c r="Q48" s="102" t="s">
        <v>310</v>
      </c>
      <c r="R48" s="102" t="s">
        <v>395</v>
      </c>
    </row>
    <row r="49" spans="16:18" ht="19.5" customHeight="1">
      <c r="P49" s="263"/>
      <c r="Q49" s="102" t="s">
        <v>371</v>
      </c>
      <c r="R49" s="102" t="s">
        <v>311</v>
      </c>
    </row>
    <row r="50" spans="16:18" ht="19.5" customHeight="1">
      <c r="P50" s="263"/>
      <c r="Q50" s="102" t="s">
        <v>343</v>
      </c>
      <c r="R50" s="102" t="s">
        <v>396</v>
      </c>
    </row>
    <row r="51" spans="16:18" ht="19.5" customHeight="1">
      <c r="P51" s="263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32</vt:i4>
      </vt:variant>
      <vt:variant>
        <vt:lpstr>이름 지정된 범위</vt:lpstr>
      </vt:variant>
      <vt:variant>
        <vt:i4>1</vt:i4>
      </vt:variant>
    </vt:vector>
  </HeadingPairs>
  <TitlesOfParts>
    <vt:vector size="33" baseType="lpstr">
      <vt:lpstr>테이블_규칙</vt:lpstr>
      <vt:lpstr>Test01</vt:lpstr>
      <vt:lpstr>Test02</vt:lpstr>
      <vt:lpstr>Test03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level9_113</cp:lastModifiedBy>
  <cp:lastPrinted>2018-02-02T00:24:20Z</cp:lastPrinted>
  <dcterms:created xsi:type="dcterms:W3CDTF">2014-01-09T06:42:40Z</dcterms:created>
  <dcterms:modified xsi:type="dcterms:W3CDTF">2019-06-20T04:55:03Z</dcterms:modified>
</cp:coreProperties>
</file>