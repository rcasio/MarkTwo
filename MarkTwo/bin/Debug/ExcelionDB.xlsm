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29" codeName="{54D0D2CB-4C12-4D6E-6EDF-ACB5E8E520A3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level9_113\Documents\MarkTwo\MarkTwo\bin\Debug\"/>
    </mc:Choice>
  </mc:AlternateContent>
  <xr:revisionPtr revIDLastSave="0" documentId="13_ncr:1_{2E6501EE-CCFB-4A90-B08D-F7619296A597}" xr6:coauthVersionLast="43" xr6:coauthVersionMax="43" xr10:uidLastSave="{00000000-0000-0000-0000-000000000000}"/>
  <bookViews>
    <workbookView xWindow="-28920" yWindow="-120" windowWidth="29040" windowHeight="15840" tabRatio="968" xr2:uid="{00000000-000D-0000-FFFF-FFFF00000000}"/>
  </bookViews>
  <sheets>
    <sheet name="테이블_규칙" sheetId="3" r:id="rId1"/>
    <sheet name="ConquerorLevel" sheetId="65" r:id="rId2"/>
    <sheet name="CharacterLevel" sheetId="66" r:id="rId3"/>
    <sheet name="Enchant" sheetId="67" r:id="rId4"/>
    <sheet name="CardEnchantRate" sheetId="68" r:id="rId5"/>
    <sheet name="CardOption" sheetId="69" r:id="rId6"/>
    <sheet name="Quest" sheetId="70" r:id="rId7"/>
    <sheet name="Map" sheetId="71" r:id="rId8"/>
    <sheet name="Gathering" sheetId="72" r:id="rId9"/>
    <sheet name="Dialog" sheetId="73" r:id="rId10"/>
    <sheet name="Dialog_Effect" sheetId="74" r:id="rId11"/>
    <sheet name="NPC" sheetId="77" r:id="rId12"/>
    <sheet name="Item" sheetId="79" r:id="rId13"/>
    <sheet name="DropBag" sheetId="75" r:id="rId14"/>
    <sheet name="Multilingual" sheetId="82" r:id="rId15"/>
    <sheet name="Tag" sheetId="89" r:id="rId16"/>
    <sheet name="PR" sheetId="76" r:id="rId17"/>
    <sheet name="NPCGroupBag" sheetId="78" r:id="rId18"/>
    <sheet name="Setitem" sheetId="80" r:id="rId19"/>
    <sheet name="Skill" sheetId="81" r:id="rId20"/>
    <sheet name="ServerMessage" sheetId="88" r:id="rId21"/>
    <sheet name="Achievement" sheetId="83" r:id="rId22"/>
    <sheet name="LocalAchievement" sheetId="84" r:id="rId23"/>
    <sheet name="AchievementResult" sheetId="85" r:id="rId24"/>
    <sheet name="Shop" sheetId="86" r:id="rId25"/>
    <sheet name="Grade" sheetId="87" r:id="rId26"/>
    <sheet name="테이블관리" sheetId="64" r:id="rId27"/>
    <sheet name="테이블버전관리" sheetId="29" r:id="rId28"/>
    <sheet name="공식" sheetId="37" r:id="rId29"/>
  </sheets>
  <functionGroups builtInGroupCount="19"/>
  <definedNames>
    <definedName name="_xlnm._FilterDatabase" localSheetId="11" hidden="1">NPC!$D$4:$D$27</definedName>
    <definedName name="ItemType">Tag!$C$8:$C$9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R15" i="65" l="1"/>
  <c r="Y15" i="65"/>
  <c r="R16" i="65"/>
  <c r="Y16" i="65"/>
  <c r="R17" i="65"/>
  <c r="Y17" i="65"/>
  <c r="R18" i="65"/>
  <c r="Y18" i="65"/>
  <c r="R19" i="65"/>
  <c r="Y19" i="65"/>
  <c r="D20" i="65"/>
  <c r="D21" i="65" s="1"/>
  <c r="D22" i="65" s="1"/>
  <c r="D23" i="65" s="1"/>
  <c r="D24" i="65" s="1"/>
  <c r="R20" i="65"/>
  <c r="Y20" i="65"/>
  <c r="R21" i="65"/>
  <c r="Y21" i="65"/>
  <c r="R22" i="65"/>
  <c r="Y22" i="65"/>
  <c r="R23" i="65"/>
  <c r="Y23" i="65"/>
  <c r="R24" i="65"/>
  <c r="Y24" i="65"/>
  <c r="A27" i="76" l="1"/>
  <c r="F27" i="76" s="1"/>
  <c r="A12" i="76"/>
  <c r="A13" i="76" s="1"/>
  <c r="F13" i="76" s="1"/>
  <c r="F23" i="76"/>
  <c r="F5" i="76"/>
  <c r="F7" i="76"/>
  <c r="F228" i="76"/>
  <c r="F227" i="76"/>
  <c r="F226" i="76"/>
  <c r="F225" i="76"/>
  <c r="F224" i="76"/>
  <c r="F223" i="76"/>
  <c r="F222" i="76"/>
  <c r="F221" i="76"/>
  <c r="F220" i="76"/>
  <c r="F219" i="76"/>
  <c r="F218" i="76"/>
  <c r="F217" i="76"/>
  <c r="F216" i="76"/>
  <c r="F215" i="76"/>
  <c r="F214" i="76"/>
  <c r="F213" i="76"/>
  <c r="F212" i="76"/>
  <c r="F211" i="76"/>
  <c r="F210" i="76"/>
  <c r="F209" i="76"/>
  <c r="F208" i="76"/>
  <c r="F207" i="76"/>
  <c r="F206" i="76"/>
  <c r="F205" i="76"/>
  <c r="F204" i="76"/>
  <c r="F203" i="76"/>
  <c r="F202" i="76"/>
  <c r="F201" i="76"/>
  <c r="F200" i="76"/>
  <c r="F199" i="76"/>
  <c r="F198" i="76"/>
  <c r="F197" i="76"/>
  <c r="F196" i="76"/>
  <c r="F195" i="76"/>
  <c r="F194" i="76"/>
  <c r="F193" i="76"/>
  <c r="F192" i="76"/>
  <c r="F191" i="76"/>
  <c r="F190" i="76"/>
  <c r="F189" i="76"/>
  <c r="F188" i="76"/>
  <c r="F187" i="76"/>
  <c r="F186" i="76"/>
  <c r="F185" i="76"/>
  <c r="F184" i="76"/>
  <c r="F183" i="76"/>
  <c r="F182" i="76"/>
  <c r="F181" i="76"/>
  <c r="F180" i="76"/>
  <c r="F179" i="76"/>
  <c r="F178" i="76"/>
  <c r="F177" i="76"/>
  <c r="F176" i="76"/>
  <c r="F175" i="76"/>
  <c r="F174" i="76"/>
  <c r="F173" i="76"/>
  <c r="F172" i="76"/>
  <c r="F171" i="76"/>
  <c r="F170" i="76"/>
  <c r="F169" i="76"/>
  <c r="F168" i="76"/>
  <c r="F167" i="76"/>
  <c r="F166" i="76"/>
  <c r="F165" i="76"/>
  <c r="F164" i="76"/>
  <c r="F163" i="76"/>
  <c r="F162" i="76"/>
  <c r="F161" i="76"/>
  <c r="F160" i="76"/>
  <c r="F159" i="76"/>
  <c r="F158" i="76"/>
  <c r="F157" i="76"/>
  <c r="F156" i="76"/>
  <c r="F155" i="76"/>
  <c r="F154" i="76"/>
  <c r="F153" i="76"/>
  <c r="F152" i="76"/>
  <c r="F151" i="76"/>
  <c r="F150" i="76"/>
  <c r="F149" i="76"/>
  <c r="F148" i="76"/>
  <c r="F147" i="76"/>
  <c r="F146" i="76"/>
  <c r="F145" i="76"/>
  <c r="F144" i="76"/>
  <c r="F143" i="76"/>
  <c r="F142" i="76"/>
  <c r="F141" i="76"/>
  <c r="F140" i="76"/>
  <c r="F139" i="76"/>
  <c r="F138" i="76"/>
  <c r="F137" i="76"/>
  <c r="F136" i="76"/>
  <c r="F135" i="76"/>
  <c r="F134" i="76"/>
  <c r="F133" i="76"/>
  <c r="F132" i="76"/>
  <c r="F131" i="76"/>
  <c r="F130" i="76"/>
  <c r="F129" i="76"/>
  <c r="F128" i="76"/>
  <c r="F127" i="76"/>
  <c r="F126" i="76"/>
  <c r="F125" i="76"/>
  <c r="F124" i="76"/>
  <c r="F123" i="76"/>
  <c r="F122" i="76"/>
  <c r="F121" i="76"/>
  <c r="F120" i="76"/>
  <c r="F119" i="76"/>
  <c r="F118" i="76"/>
  <c r="F117" i="76"/>
  <c r="F116" i="76"/>
  <c r="F115" i="76"/>
  <c r="F114" i="76"/>
  <c r="F113" i="76"/>
  <c r="F112" i="76"/>
  <c r="F111" i="76"/>
  <c r="F110" i="76"/>
  <c r="F109" i="76"/>
  <c r="F108" i="76"/>
  <c r="F107" i="76"/>
  <c r="F106" i="76"/>
  <c r="F105" i="76"/>
  <c r="F104" i="76"/>
  <c r="F103" i="76"/>
  <c r="F102" i="76"/>
  <c r="F101" i="76"/>
  <c r="F100" i="76"/>
  <c r="F99" i="76"/>
  <c r="F98" i="76"/>
  <c r="F97" i="76"/>
  <c r="F96" i="76"/>
  <c r="F95" i="76"/>
  <c r="F94" i="76"/>
  <c r="F93" i="76"/>
  <c r="F92" i="76"/>
  <c r="F91" i="76"/>
  <c r="F90" i="76"/>
  <c r="F89" i="76"/>
  <c r="F88" i="76"/>
  <c r="F87" i="76"/>
  <c r="F86" i="76"/>
  <c r="F85" i="76"/>
  <c r="F84" i="76"/>
  <c r="F83" i="76"/>
  <c r="F82" i="76"/>
  <c r="F81" i="76"/>
  <c r="F80" i="76"/>
  <c r="F79" i="76"/>
  <c r="F78" i="76"/>
  <c r="F77" i="76"/>
  <c r="F76" i="76"/>
  <c r="F75" i="76"/>
  <c r="F74" i="76"/>
  <c r="F73" i="76"/>
  <c r="F72" i="76"/>
  <c r="F71" i="76"/>
  <c r="F70" i="76"/>
  <c r="F69" i="76"/>
  <c r="F68" i="76"/>
  <c r="F67" i="76"/>
  <c r="F66" i="76"/>
  <c r="F65" i="76"/>
  <c r="F64" i="76"/>
  <c r="F63" i="76"/>
  <c r="F62" i="76"/>
  <c r="F61" i="76"/>
  <c r="F60" i="76"/>
  <c r="F59" i="76"/>
  <c r="F58" i="76"/>
  <c r="F57" i="76"/>
  <c r="F56" i="76"/>
  <c r="F55" i="76"/>
  <c r="F54" i="76"/>
  <c r="F53" i="76"/>
  <c r="F52" i="76"/>
  <c r="F51" i="76"/>
  <c r="F50" i="76"/>
  <c r="F49" i="76"/>
  <c r="F48" i="76"/>
  <c r="F47" i="76"/>
  <c r="F46" i="76"/>
  <c r="F45" i="76"/>
  <c r="F44" i="76"/>
  <c r="F43" i="76"/>
  <c r="F42" i="76"/>
  <c r="F41" i="76"/>
  <c r="F40" i="76"/>
  <c r="F39" i="76"/>
  <c r="F38" i="76"/>
  <c r="F37" i="76"/>
  <c r="F36" i="76"/>
  <c r="F35" i="76"/>
  <c r="F34" i="76"/>
  <c r="F33" i="76"/>
  <c r="F32" i="76"/>
  <c r="F31" i="76"/>
  <c r="F22" i="76"/>
  <c r="F21" i="76"/>
  <c r="F11" i="76"/>
  <c r="F9" i="76"/>
  <c r="B5" i="79"/>
  <c r="A28" i="76" l="1"/>
  <c r="F28" i="76" s="1"/>
  <c r="F12" i="76"/>
  <c r="A29" i="76"/>
  <c r="A14" i="76"/>
  <c r="F23" i="89"/>
  <c r="F24" i="89"/>
  <c r="F25" i="89"/>
  <c r="F26" i="89"/>
  <c r="F27" i="89"/>
  <c r="F28" i="89"/>
  <c r="F29" i="89"/>
  <c r="F30" i="89"/>
  <c r="F31" i="89"/>
  <c r="F32" i="89"/>
  <c r="F33" i="89"/>
  <c r="F34" i="89"/>
  <c r="F35" i="89"/>
  <c r="F36" i="89"/>
  <c r="F37" i="89"/>
  <c r="F38" i="89"/>
  <c r="F39" i="89"/>
  <c r="F40" i="89"/>
  <c r="F41" i="89"/>
  <c r="F42" i="89"/>
  <c r="F43" i="89"/>
  <c r="F44" i="89"/>
  <c r="F45" i="89"/>
  <c r="F46" i="89"/>
  <c r="F47" i="89"/>
  <c r="F48" i="89"/>
  <c r="F49" i="89"/>
  <c r="F50" i="89"/>
  <c r="F51" i="89"/>
  <c r="F52" i="89"/>
  <c r="F53" i="89"/>
  <c r="F54" i="89"/>
  <c r="F55" i="89"/>
  <c r="F56" i="89"/>
  <c r="F57" i="89"/>
  <c r="F58" i="89"/>
  <c r="F59" i="89"/>
  <c r="F60" i="89"/>
  <c r="F61" i="89"/>
  <c r="F62" i="89"/>
  <c r="F63" i="89"/>
  <c r="F64" i="89"/>
  <c r="F65" i="89"/>
  <c r="F66" i="89"/>
  <c r="F67" i="89"/>
  <c r="F68" i="89"/>
  <c r="F69" i="89"/>
  <c r="F70" i="89"/>
  <c r="F71" i="89"/>
  <c r="F72" i="89"/>
  <c r="F73" i="89"/>
  <c r="F74" i="89"/>
  <c r="F75" i="89"/>
  <c r="F76" i="89"/>
  <c r="F77" i="89"/>
  <c r="F78" i="89"/>
  <c r="F79" i="89"/>
  <c r="F80" i="89"/>
  <c r="F81" i="89"/>
  <c r="F82" i="89"/>
  <c r="F83" i="89"/>
  <c r="F84" i="89"/>
  <c r="F85" i="89"/>
  <c r="F86" i="89"/>
  <c r="F87" i="89"/>
  <c r="F88" i="89"/>
  <c r="F89" i="89"/>
  <c r="F90" i="89"/>
  <c r="F91" i="89"/>
  <c r="F92" i="89"/>
  <c r="F93" i="89"/>
  <c r="F94" i="89"/>
  <c r="F95" i="89"/>
  <c r="F96" i="89"/>
  <c r="F97" i="89"/>
  <c r="F98" i="89"/>
  <c r="F99" i="89"/>
  <c r="F100" i="89"/>
  <c r="F101" i="89"/>
  <c r="F102" i="89"/>
  <c r="F103" i="89"/>
  <c r="F104" i="89"/>
  <c r="F105" i="89"/>
  <c r="F106" i="89"/>
  <c r="F107" i="89"/>
  <c r="F108" i="89"/>
  <c r="F109" i="89"/>
  <c r="F110" i="89"/>
  <c r="F111" i="89"/>
  <c r="F112" i="89"/>
  <c r="F113" i="89"/>
  <c r="F114" i="89"/>
  <c r="F115" i="89"/>
  <c r="F116" i="89"/>
  <c r="F117" i="89"/>
  <c r="F118" i="89"/>
  <c r="F119" i="89"/>
  <c r="F120" i="89"/>
  <c r="F121" i="89"/>
  <c r="F122" i="89"/>
  <c r="F123" i="89"/>
  <c r="F124" i="89"/>
  <c r="F125" i="89"/>
  <c r="F126" i="89"/>
  <c r="F127" i="89"/>
  <c r="F128" i="89"/>
  <c r="F129" i="89"/>
  <c r="F130" i="89"/>
  <c r="F131" i="89"/>
  <c r="F132" i="89"/>
  <c r="F133" i="89"/>
  <c r="F134" i="89"/>
  <c r="F135" i="89"/>
  <c r="F136" i="89"/>
  <c r="F137" i="89"/>
  <c r="F138" i="89"/>
  <c r="F139" i="89"/>
  <c r="F140" i="89"/>
  <c r="F141" i="89"/>
  <c r="F142" i="89"/>
  <c r="F143" i="89"/>
  <c r="F144" i="89"/>
  <c r="F145" i="89"/>
  <c r="F146" i="89"/>
  <c r="F147" i="89"/>
  <c r="F148" i="89"/>
  <c r="F149" i="89"/>
  <c r="F150" i="89"/>
  <c r="F151" i="89"/>
  <c r="F152" i="89"/>
  <c r="F153" i="89"/>
  <c r="F154" i="89"/>
  <c r="F155" i="89"/>
  <c r="F156" i="89"/>
  <c r="F157" i="89"/>
  <c r="F158" i="89"/>
  <c r="F159" i="89"/>
  <c r="F160" i="89"/>
  <c r="F161" i="89"/>
  <c r="F162" i="89"/>
  <c r="F163" i="89"/>
  <c r="F164" i="89"/>
  <c r="F165" i="89"/>
  <c r="F166" i="89"/>
  <c r="F167" i="89"/>
  <c r="F168" i="89"/>
  <c r="F169" i="89"/>
  <c r="F170" i="89"/>
  <c r="F171" i="89"/>
  <c r="F172" i="89"/>
  <c r="F173" i="89"/>
  <c r="F174" i="89"/>
  <c r="F175" i="89"/>
  <c r="F176" i="89"/>
  <c r="F177" i="89"/>
  <c r="F178" i="89"/>
  <c r="F179" i="89"/>
  <c r="F180" i="89"/>
  <c r="F181" i="89"/>
  <c r="F182" i="89"/>
  <c r="F183" i="89"/>
  <c r="F184" i="89"/>
  <c r="F185" i="89"/>
  <c r="F186" i="89"/>
  <c r="F187" i="89"/>
  <c r="F188" i="89"/>
  <c r="F189" i="89"/>
  <c r="F190" i="89"/>
  <c r="F191" i="89"/>
  <c r="F192" i="89"/>
  <c r="F193" i="89"/>
  <c r="F194" i="89"/>
  <c r="F195" i="89"/>
  <c r="F196" i="89"/>
  <c r="F197" i="89"/>
  <c r="F198" i="89"/>
  <c r="F199" i="89"/>
  <c r="F200" i="89"/>
  <c r="F201" i="89"/>
  <c r="F202" i="89"/>
  <c r="F203" i="89"/>
  <c r="F204" i="89"/>
  <c r="F205" i="89"/>
  <c r="F206" i="89"/>
  <c r="F207" i="89"/>
  <c r="F208" i="89"/>
  <c r="F209" i="89"/>
  <c r="F210" i="89"/>
  <c r="F211" i="89"/>
  <c r="F212" i="89"/>
  <c r="F213" i="89"/>
  <c r="F214" i="89"/>
  <c r="F215" i="89"/>
  <c r="F216" i="89"/>
  <c r="F217" i="89"/>
  <c r="F218" i="89"/>
  <c r="F219" i="89"/>
  <c r="F220" i="89"/>
  <c r="F221" i="89"/>
  <c r="F222" i="89"/>
  <c r="F223" i="89"/>
  <c r="F224" i="89"/>
  <c r="F225" i="89"/>
  <c r="F226" i="89"/>
  <c r="F227" i="89"/>
  <c r="F228" i="89"/>
  <c r="F229" i="89"/>
  <c r="F230" i="89"/>
  <c r="F231" i="89"/>
  <c r="F232" i="89"/>
  <c r="F233" i="89"/>
  <c r="F234" i="89"/>
  <c r="F235" i="89"/>
  <c r="F236" i="89"/>
  <c r="F237" i="89"/>
  <c r="F238" i="89"/>
  <c r="F239" i="89"/>
  <c r="F240" i="89"/>
  <c r="F241" i="89"/>
  <c r="F242" i="89"/>
  <c r="F243" i="89"/>
  <c r="F244" i="89"/>
  <c r="F245" i="89"/>
  <c r="F246" i="89"/>
  <c r="F247" i="89"/>
  <c r="F8" i="89"/>
  <c r="D105" i="82"/>
  <c r="D106" i="82"/>
  <c r="D107" i="82"/>
  <c r="D108" i="82"/>
  <c r="D109" i="82"/>
  <c r="D110" i="82"/>
  <c r="D111" i="82"/>
  <c r="D112" i="82"/>
  <c r="D113" i="82"/>
  <c r="D114" i="82"/>
  <c r="D115" i="82"/>
  <c r="D116" i="82"/>
  <c r="D117" i="82"/>
  <c r="D118" i="82"/>
  <c r="D119" i="82"/>
  <c r="D120" i="82"/>
  <c r="D121" i="82"/>
  <c r="D104" i="82"/>
  <c r="D102" i="82"/>
  <c r="D100" i="82"/>
  <c r="D98" i="82"/>
  <c r="D97" i="82"/>
  <c r="D76" i="82"/>
  <c r="D77" i="82"/>
  <c r="D78" i="82"/>
  <c r="D79" i="82"/>
  <c r="D80" i="82"/>
  <c r="D81" i="82"/>
  <c r="D82" i="82"/>
  <c r="D83" i="82"/>
  <c r="D84" i="82"/>
  <c r="D85" i="82"/>
  <c r="D86" i="82"/>
  <c r="D87" i="82"/>
  <c r="D88" i="82"/>
  <c r="D89" i="82"/>
  <c r="D90" i="82"/>
  <c r="D91" i="82"/>
  <c r="D92" i="82"/>
  <c r="D93" i="82"/>
  <c r="D94" i="82"/>
  <c r="D95" i="82"/>
  <c r="D75" i="82"/>
  <c r="D73" i="82"/>
  <c r="D71" i="82"/>
  <c r="D69" i="82"/>
  <c r="D67" i="82"/>
  <c r="D65" i="82"/>
  <c r="D52" i="82"/>
  <c r="D53" i="82"/>
  <c r="D54" i="82"/>
  <c r="D55" i="82"/>
  <c r="D56" i="82"/>
  <c r="D57" i="82"/>
  <c r="D58" i="82"/>
  <c r="D59" i="82"/>
  <c r="D60" i="82"/>
  <c r="D61" i="82"/>
  <c r="D62" i="82"/>
  <c r="D63" i="82"/>
  <c r="D51" i="82"/>
  <c r="D45" i="82"/>
  <c r="D46" i="82"/>
  <c r="D47" i="82"/>
  <c r="D48" i="82"/>
  <c r="D49" i="82"/>
  <c r="D44" i="82"/>
  <c r="D38" i="82"/>
  <c r="D39" i="82"/>
  <c r="D40" i="82"/>
  <c r="D41" i="82"/>
  <c r="D42" i="82"/>
  <c r="D37" i="82"/>
  <c r="D31" i="82"/>
  <c r="D32" i="82"/>
  <c r="D33" i="82"/>
  <c r="D34" i="82"/>
  <c r="D35" i="82"/>
  <c r="D30" i="82"/>
  <c r="D24" i="82"/>
  <c r="D25" i="82"/>
  <c r="D26" i="82"/>
  <c r="D27" i="82"/>
  <c r="D28" i="82"/>
  <c r="D23" i="82"/>
  <c r="D17" i="82"/>
  <c r="D18" i="82"/>
  <c r="D19" i="82"/>
  <c r="D20" i="82"/>
  <c r="D21" i="82"/>
  <c r="D16" i="82"/>
  <c r="D10" i="82"/>
  <c r="D11" i="82"/>
  <c r="D12" i="82"/>
  <c r="D13" i="82"/>
  <c r="D14" i="82"/>
  <c r="D9" i="82"/>
  <c r="D6" i="82"/>
  <c r="D7" i="82"/>
  <c r="D5" i="82"/>
  <c r="F29" i="76" l="1"/>
  <c r="A30" i="76"/>
  <c r="F30" i="76" s="1"/>
  <c r="F14" i="76"/>
  <c r="A15" i="76"/>
  <c r="A9" i="89"/>
  <c r="A25" i="76"/>
  <c r="F25" i="76" s="1"/>
  <c r="D5" i="76"/>
  <c r="A10" i="89" l="1"/>
  <c r="F9" i="89"/>
  <c r="A16" i="76"/>
  <c r="F15" i="76"/>
  <c r="C104" i="82"/>
  <c r="C102" i="82"/>
  <c r="C100" i="82"/>
  <c r="C97" i="82"/>
  <c r="C75" i="82"/>
  <c r="C73" i="82"/>
  <c r="C71" i="82"/>
  <c r="C69" i="82"/>
  <c r="C67" i="82"/>
  <c r="C65" i="82"/>
  <c r="C51" i="82"/>
  <c r="C44" i="82"/>
  <c r="C37" i="82"/>
  <c r="C30" i="82"/>
  <c r="C23" i="82"/>
  <c r="C16" i="82"/>
  <c r="C9" i="82"/>
  <c r="C5" i="82"/>
  <c r="A11" i="89" l="1"/>
  <c r="F10" i="89"/>
  <c r="F16" i="76"/>
  <c r="A17" i="76"/>
  <c r="A12" i="89" l="1"/>
  <c r="F11" i="89"/>
  <c r="F17" i="76"/>
  <c r="A18" i="76"/>
  <c r="F18" i="76" s="1"/>
  <c r="A98" i="82"/>
  <c r="C98" i="82" s="1"/>
  <c r="A6" i="82"/>
  <c r="A6" i="79"/>
  <c r="A6" i="75"/>
  <c r="A7" i="75" s="1"/>
  <c r="A8" i="75" s="1"/>
  <c r="A9" i="75" s="1"/>
  <c r="A10" i="75" s="1"/>
  <c r="A11" i="75" s="1"/>
  <c r="A12" i="75" s="1"/>
  <c r="A13" i="89" l="1"/>
  <c r="F12" i="89"/>
  <c r="A7" i="79"/>
  <c r="B6" i="79"/>
  <c r="A7" i="82"/>
  <c r="C7" i="82" s="1"/>
  <c r="C6" i="82"/>
  <c r="A13" i="75"/>
  <c r="A14" i="75" s="1"/>
  <c r="A15" i="75" s="1"/>
  <c r="A16" i="75" s="1"/>
  <c r="A17" i="75" s="1"/>
  <c r="A18" i="75" s="1"/>
  <c r="A19" i="75" s="1"/>
  <c r="A20" i="75" s="1"/>
  <c r="A21" i="75" s="1"/>
  <c r="A22" i="75" s="1"/>
  <c r="A23" i="75" s="1"/>
  <c r="A24" i="75" s="1"/>
  <c r="A25" i="75" s="1"/>
  <c r="F13" i="89" l="1"/>
  <c r="A14" i="89"/>
  <c r="B9" i="79"/>
  <c r="B7" i="79"/>
  <c r="E13" i="88"/>
  <c r="E14" i="88"/>
  <c r="E15" i="88"/>
  <c r="A15" i="89" l="1"/>
  <c r="F14" i="89"/>
  <c r="E8" i="88"/>
  <c r="A16" i="89" l="1"/>
  <c r="F15" i="89"/>
  <c r="E11" i="88"/>
  <c r="E12" i="88"/>
  <c r="E10" i="88"/>
  <c r="A17" i="89" l="1"/>
  <c r="F16" i="89"/>
  <c r="C17" i="88"/>
  <c r="E17" i="88"/>
  <c r="E9" i="88"/>
  <c r="F17" i="89" l="1"/>
  <c r="A18" i="89"/>
  <c r="E7" i="88"/>
  <c r="A6" i="88"/>
  <c r="A7" i="88" s="1"/>
  <c r="A8" i="88" s="1"/>
  <c r="A9" i="88" s="1"/>
  <c r="A10" i="88" s="1"/>
  <c r="A11" i="88" s="1"/>
  <c r="A12" i="88" s="1"/>
  <c r="A13" i="88" s="1"/>
  <c r="A14" i="88" s="1"/>
  <c r="A19" i="89" l="1"/>
  <c r="F18" i="89"/>
  <c r="A15" i="88"/>
  <c r="A20" i="89" l="1"/>
  <c r="F19" i="89"/>
  <c r="E6" i="88"/>
  <c r="A21" i="89" l="1"/>
  <c r="F20" i="89"/>
  <c r="B5" i="65"/>
  <c r="B6" i="65" s="1"/>
  <c r="B7" i="65" s="1"/>
  <c r="B8" i="65" s="1"/>
  <c r="B9" i="65" s="1"/>
  <c r="B10" i="65" s="1"/>
  <c r="B11" i="65" s="1"/>
  <c r="B12" i="65" s="1"/>
  <c r="B13" i="65" s="1"/>
  <c r="B14" i="65" s="1"/>
  <c r="B15" i="65" s="1"/>
  <c r="B16" i="65" s="1"/>
  <c r="B17" i="65" s="1"/>
  <c r="B18" i="65" s="1"/>
  <c r="B19" i="65" s="1"/>
  <c r="B20" i="65" s="1"/>
  <c r="B21" i="65" s="1"/>
  <c r="B22" i="65" s="1"/>
  <c r="B23" i="65" s="1"/>
  <c r="B24" i="65" s="1"/>
  <c r="E13" i="66"/>
  <c r="E14" i="66" s="1"/>
  <c r="E15" i="66" s="1"/>
  <c r="E16" i="66" s="1"/>
  <c r="E17" i="66" s="1"/>
  <c r="E8" i="66"/>
  <c r="E9" i="66" s="1"/>
  <c r="D7" i="66"/>
  <c r="D8" i="66" s="1"/>
  <c r="E5" i="88"/>
  <c r="A22" i="89" l="1"/>
  <c r="F22" i="89" s="1"/>
  <c r="F21" i="89"/>
  <c r="E20" i="66"/>
  <c r="E21" i="66" s="1"/>
  <c r="E22" i="66" s="1"/>
  <c r="E23" i="66" s="1"/>
  <c r="E24" i="66" s="1"/>
  <c r="E27" i="66" s="1"/>
  <c r="E28" i="66" s="1"/>
  <c r="E29" i="66" s="1"/>
  <c r="E30" i="66" s="1"/>
  <c r="E31" i="66" s="1"/>
  <c r="E34" i="66" s="1"/>
  <c r="E35" i="66" s="1"/>
  <c r="E36" i="66" s="1"/>
  <c r="E37" i="66" s="1"/>
  <c r="E38" i="66" s="1"/>
  <c r="E41" i="66" s="1"/>
  <c r="E42" i="66" s="1"/>
  <c r="E43" i="66" s="1"/>
  <c r="E44" i="66" s="1"/>
  <c r="E45" i="66" s="1"/>
  <c r="E48" i="66" s="1"/>
  <c r="E49" i="66" s="1"/>
  <c r="E50" i="66" s="1"/>
  <c r="E51" i="66" s="1"/>
  <c r="E52" i="66" s="1"/>
  <c r="E53" i="66" s="1"/>
  <c r="D9" i="66"/>
  <c r="D10" i="66" s="1"/>
  <c r="D11" i="66" s="1"/>
  <c r="D12" i="66" s="1"/>
  <c r="D8" i="65"/>
  <c r="D9" i="65" s="1"/>
  <c r="D10" i="65" s="1"/>
  <c r="D11" i="65" s="1"/>
  <c r="D12" i="65" s="1"/>
  <c r="D13" i="65" s="1"/>
  <c r="D14" i="65" s="1"/>
  <c r="D15" i="65" s="1"/>
  <c r="D16" i="65" s="1"/>
  <c r="D17" i="65" s="1"/>
  <c r="D18" i="65" s="1"/>
  <c r="C7" i="65"/>
  <c r="D13" i="66" l="1"/>
  <c r="D14" i="66" s="1"/>
  <c r="D15" i="66" s="1"/>
  <c r="D16" i="66" s="1"/>
  <c r="D17" i="66" s="1"/>
  <c r="D18" i="66" s="1"/>
  <c r="D19" i="66" s="1"/>
  <c r="D20" i="66" s="1"/>
  <c r="D21" i="66" s="1"/>
  <c r="D22" i="66" s="1"/>
  <c r="D23" i="66" s="1"/>
  <c r="D24" i="66" s="1"/>
  <c r="D25" i="66" s="1"/>
  <c r="D26" i="66" s="1"/>
  <c r="D27" i="66" s="1"/>
  <c r="D28" i="66" s="1"/>
  <c r="D29" i="66" s="1"/>
  <c r="D30" i="66" s="1"/>
  <c r="D31" i="66" s="1"/>
  <c r="D32" i="66" s="1"/>
  <c r="D33" i="66" s="1"/>
  <c r="D34" i="66" s="1"/>
  <c r="D35" i="66" s="1"/>
  <c r="D36" i="66" s="1"/>
  <c r="D37" i="66" s="1"/>
  <c r="D38" i="66" s="1"/>
  <c r="D39" i="66" s="1"/>
  <c r="D40" i="66" s="1"/>
  <c r="D41" i="66" s="1"/>
  <c r="D42" i="66" s="1"/>
  <c r="D43" i="66" s="1"/>
  <c r="D44" i="66" s="1"/>
  <c r="D45" i="66" s="1"/>
  <c r="D46" i="66" s="1"/>
  <c r="D47" i="66" s="1"/>
  <c r="D48" i="66" s="1"/>
  <c r="D49" i="66" s="1"/>
  <c r="D50" i="66" s="1"/>
  <c r="D51" i="66" s="1"/>
  <c r="D52" i="66" s="1"/>
  <c r="D53" i="66" s="1"/>
  <c r="D54" i="66" s="1"/>
  <c r="C8" i="65" l="1"/>
  <c r="C9" i="65" s="1"/>
  <c r="C10" i="65" s="1"/>
  <c r="C11" i="65" s="1"/>
  <c r="C12" i="65" s="1"/>
  <c r="C13" i="65" s="1"/>
  <c r="C14" i="65" s="1"/>
  <c r="C15" i="65" s="1"/>
  <c r="C16" i="65" s="1"/>
  <c r="C17" i="65" s="1"/>
  <c r="C18" i="65" s="1"/>
  <c r="C19" i="65" s="1"/>
  <c r="C20" i="65" s="1"/>
  <c r="C21" i="65" s="1"/>
  <c r="C22" i="65" s="1"/>
  <c r="C23" i="65" s="1"/>
  <c r="C24" i="65" s="1"/>
  <c r="A7" i="87"/>
  <c r="A8" i="87" s="1"/>
  <c r="A9" i="87" s="1"/>
  <c r="A10" i="87" s="1"/>
  <c r="A11" i="87" s="1"/>
  <c r="A12" i="87" s="1"/>
  <c r="D4" i="83"/>
  <c r="A105" i="82"/>
  <c r="A76" i="82"/>
  <c r="A52" i="82"/>
  <c r="A45" i="82"/>
  <c r="A38" i="82"/>
  <c r="A31" i="82"/>
  <c r="A24" i="82"/>
  <c r="A17" i="82"/>
  <c r="A10" i="82"/>
  <c r="AK131" i="81"/>
  <c r="AK130" i="81" s="1"/>
  <c r="AK129" i="81" s="1"/>
  <c r="AK118" i="81"/>
  <c r="AK119" i="81" s="1"/>
  <c r="AK116" i="81"/>
  <c r="AK115" i="81" s="1"/>
  <c r="AK114" i="81" s="1"/>
  <c r="Y94" i="81"/>
  <c r="Y95" i="81" s="1"/>
  <c r="AK84" i="81"/>
  <c r="AK74" i="81"/>
  <c r="AK64" i="81"/>
  <c r="B64" i="81"/>
  <c r="B65" i="81" s="1"/>
  <c r="A63" i="81"/>
  <c r="A57" i="81"/>
  <c r="A58" i="81" s="1"/>
  <c r="A59" i="81" s="1"/>
  <c r="A60" i="81" s="1"/>
  <c r="F47" i="81"/>
  <c r="F48" i="81" s="1"/>
  <c r="F49" i="81" s="1"/>
  <c r="F50" i="81" s="1"/>
  <c r="F51" i="81" s="1"/>
  <c r="F52" i="81" s="1"/>
  <c r="F53" i="81" s="1"/>
  <c r="F54" i="81" s="1"/>
  <c r="A46" i="81"/>
  <c r="A47" i="81" s="1"/>
  <c r="A48" i="81" s="1"/>
  <c r="A49" i="81" s="1"/>
  <c r="A50" i="81" s="1"/>
  <c r="A51" i="81" s="1"/>
  <c r="A52" i="81" s="1"/>
  <c r="A53" i="81" s="1"/>
  <c r="A54" i="81" s="1"/>
  <c r="F37" i="81"/>
  <c r="F38" i="81" s="1"/>
  <c r="F39" i="81" s="1"/>
  <c r="F40" i="81" s="1"/>
  <c r="F41" i="81" s="1"/>
  <c r="F42" i="81" s="1"/>
  <c r="F43" i="81" s="1"/>
  <c r="F44" i="81" s="1"/>
  <c r="AC36" i="81"/>
  <c r="A36" i="81"/>
  <c r="A37" i="81" s="1"/>
  <c r="A38" i="81" s="1"/>
  <c r="A39" i="81" s="1"/>
  <c r="A40" i="81" s="1"/>
  <c r="A41" i="81" s="1"/>
  <c r="A42" i="81" s="1"/>
  <c r="A43" i="81" s="1"/>
  <c r="A44" i="81" s="1"/>
  <c r="F27" i="81"/>
  <c r="F28" i="81" s="1"/>
  <c r="F29" i="81" s="1"/>
  <c r="F30" i="81" s="1"/>
  <c r="F31" i="81" s="1"/>
  <c r="F32" i="81" s="1"/>
  <c r="F33" i="81" s="1"/>
  <c r="F34" i="81" s="1"/>
  <c r="AS26" i="81"/>
  <c r="A26" i="81"/>
  <c r="A27" i="81" s="1"/>
  <c r="A28" i="81" s="1"/>
  <c r="A29" i="81" s="1"/>
  <c r="A30" i="81" s="1"/>
  <c r="A31" i="81" s="1"/>
  <c r="A32" i="81" s="1"/>
  <c r="A33" i="81" s="1"/>
  <c r="A34" i="81" s="1"/>
  <c r="F17" i="81"/>
  <c r="F18" i="81" s="1"/>
  <c r="F19" i="81" s="1"/>
  <c r="F20" i="81" s="1"/>
  <c r="F21" i="81" s="1"/>
  <c r="F22" i="81" s="1"/>
  <c r="F23" i="81" s="1"/>
  <c r="F24" i="81" s="1"/>
  <c r="AQ16" i="81"/>
  <c r="A16" i="81"/>
  <c r="A17" i="81" s="1"/>
  <c r="A18" i="81" s="1"/>
  <c r="A19" i="81" s="1"/>
  <c r="A20" i="81" s="1"/>
  <c r="A21" i="81" s="1"/>
  <c r="A22" i="81" s="1"/>
  <c r="A23" i="81" s="1"/>
  <c r="A24" i="81" s="1"/>
  <c r="S15" i="81"/>
  <c r="S25" i="81" s="1"/>
  <c r="B15" i="81"/>
  <c r="F7" i="81"/>
  <c r="F8" i="81" s="1"/>
  <c r="F9" i="81" s="1"/>
  <c r="F10" i="81" s="1"/>
  <c r="F11" i="81" s="1"/>
  <c r="F12" i="81" s="1"/>
  <c r="F13" i="81" s="1"/>
  <c r="F14" i="81" s="1"/>
  <c r="AO6" i="81"/>
  <c r="S6" i="81"/>
  <c r="S7" i="81" s="1"/>
  <c r="S8" i="81" s="1"/>
  <c r="S9" i="81" s="1"/>
  <c r="S10" i="81" s="1"/>
  <c r="S11" i="81" s="1"/>
  <c r="S12" i="81" s="1"/>
  <c r="S13" i="81" s="1"/>
  <c r="S14" i="81" s="1"/>
  <c r="B6" i="81"/>
  <c r="A6" i="81"/>
  <c r="A7" i="81" s="1"/>
  <c r="A8" i="81" s="1"/>
  <c r="A9" i="81" s="1"/>
  <c r="A10" i="81" s="1"/>
  <c r="A11" i="81" s="1"/>
  <c r="A12" i="81" s="1"/>
  <c r="A13" i="81" s="1"/>
  <c r="A14" i="81" s="1"/>
  <c r="N63" i="79"/>
  <c r="L63" i="79"/>
  <c r="K63" i="79"/>
  <c r="N62" i="79"/>
  <c r="L62" i="79"/>
  <c r="K62" i="79"/>
  <c r="N61" i="79"/>
  <c r="L61" i="79"/>
  <c r="K61" i="79"/>
  <c r="N60" i="79"/>
  <c r="L60" i="79"/>
  <c r="K60" i="79"/>
  <c r="N59" i="79"/>
  <c r="L59" i="79"/>
  <c r="K59" i="79"/>
  <c r="N58" i="79"/>
  <c r="L58" i="79"/>
  <c r="K58" i="79"/>
  <c r="N57" i="79"/>
  <c r="L57" i="79"/>
  <c r="K57" i="79"/>
  <c r="N56" i="79"/>
  <c r="L56" i="79"/>
  <c r="K56" i="79"/>
  <c r="N55" i="79"/>
  <c r="L55" i="79"/>
  <c r="K55" i="79"/>
  <c r="N54" i="79"/>
  <c r="L54" i="79"/>
  <c r="K54" i="79"/>
  <c r="N53" i="79"/>
  <c r="L53" i="79"/>
  <c r="K53" i="79"/>
  <c r="N52" i="79"/>
  <c r="L52" i="79"/>
  <c r="K52" i="79"/>
  <c r="A52" i="79"/>
  <c r="N51" i="79"/>
  <c r="L51" i="79"/>
  <c r="K51" i="79"/>
  <c r="N49" i="79"/>
  <c r="L49" i="79"/>
  <c r="K49" i="79"/>
  <c r="N48" i="79"/>
  <c r="L48" i="79"/>
  <c r="K48" i="79"/>
  <c r="N47" i="79"/>
  <c r="L47" i="79"/>
  <c r="K47" i="79"/>
  <c r="N46" i="79"/>
  <c r="L46" i="79"/>
  <c r="K46" i="79"/>
  <c r="N45" i="79"/>
  <c r="L45" i="79"/>
  <c r="K45" i="79"/>
  <c r="A45" i="79"/>
  <c r="N44" i="79"/>
  <c r="L44" i="79"/>
  <c r="K44" i="79"/>
  <c r="N42" i="79"/>
  <c r="L42" i="79"/>
  <c r="K42" i="79"/>
  <c r="N41" i="79"/>
  <c r="L41" i="79"/>
  <c r="K41" i="79"/>
  <c r="N40" i="79"/>
  <c r="L40" i="79"/>
  <c r="K40" i="79"/>
  <c r="N39" i="79"/>
  <c r="L39" i="79"/>
  <c r="K39" i="79"/>
  <c r="N38" i="79"/>
  <c r="L38" i="79"/>
  <c r="K38" i="79"/>
  <c r="A38" i="79"/>
  <c r="N37" i="79"/>
  <c r="L37" i="79"/>
  <c r="K37" i="79"/>
  <c r="N35" i="79"/>
  <c r="L35" i="79"/>
  <c r="K35" i="79"/>
  <c r="N34" i="79"/>
  <c r="L34" i="79"/>
  <c r="K34" i="79"/>
  <c r="N33" i="79"/>
  <c r="L33" i="79"/>
  <c r="K33" i="79"/>
  <c r="N32" i="79"/>
  <c r="L32" i="79"/>
  <c r="K32" i="79"/>
  <c r="N31" i="79"/>
  <c r="L31" i="79"/>
  <c r="K31" i="79"/>
  <c r="A31" i="79"/>
  <c r="N30" i="79"/>
  <c r="L30" i="79"/>
  <c r="K30" i="79"/>
  <c r="N28" i="79"/>
  <c r="L28" i="79"/>
  <c r="K28" i="79"/>
  <c r="N27" i="79"/>
  <c r="L27" i="79"/>
  <c r="K27" i="79"/>
  <c r="N26" i="79"/>
  <c r="L26" i="79"/>
  <c r="K26" i="79"/>
  <c r="N25" i="79"/>
  <c r="L25" i="79"/>
  <c r="K25" i="79"/>
  <c r="N24" i="79"/>
  <c r="L24" i="79"/>
  <c r="K24" i="79"/>
  <c r="A24" i="79"/>
  <c r="N23" i="79"/>
  <c r="L23" i="79"/>
  <c r="K23" i="79"/>
  <c r="N21" i="79"/>
  <c r="L21" i="79"/>
  <c r="K21" i="79"/>
  <c r="N20" i="79"/>
  <c r="L20" i="79"/>
  <c r="K20" i="79"/>
  <c r="N19" i="79"/>
  <c r="L19" i="79"/>
  <c r="K19" i="79"/>
  <c r="N18" i="79"/>
  <c r="L18" i="79"/>
  <c r="K18" i="79"/>
  <c r="N17" i="79"/>
  <c r="L17" i="79"/>
  <c r="K17" i="79"/>
  <c r="A17" i="79"/>
  <c r="N16" i="79"/>
  <c r="L16" i="79"/>
  <c r="K16" i="79"/>
  <c r="I16" i="79"/>
  <c r="I17" i="79" s="1"/>
  <c r="I18" i="79" s="1"/>
  <c r="I19" i="79" s="1"/>
  <c r="I20" i="79" s="1"/>
  <c r="I21" i="79" s="1"/>
  <c r="I23" i="79" s="1"/>
  <c r="I24" i="79" s="1"/>
  <c r="I25" i="79" s="1"/>
  <c r="I26" i="79" s="1"/>
  <c r="I27" i="79" s="1"/>
  <c r="I28" i="79" s="1"/>
  <c r="I30" i="79" s="1"/>
  <c r="I31" i="79" s="1"/>
  <c r="I32" i="79" s="1"/>
  <c r="I33" i="79" s="1"/>
  <c r="I34" i="79" s="1"/>
  <c r="I35" i="79" s="1"/>
  <c r="I37" i="79" s="1"/>
  <c r="I38" i="79" s="1"/>
  <c r="I39" i="79" s="1"/>
  <c r="I40" i="79" s="1"/>
  <c r="I41" i="79" s="1"/>
  <c r="I42" i="79" s="1"/>
  <c r="I44" i="79" s="1"/>
  <c r="I45" i="79" s="1"/>
  <c r="I46" i="79" s="1"/>
  <c r="I47" i="79" s="1"/>
  <c r="I48" i="79" s="1"/>
  <c r="I49" i="79" s="1"/>
  <c r="I51" i="79" s="1"/>
  <c r="I52" i="79" s="1"/>
  <c r="I53" i="79" s="1"/>
  <c r="I54" i="79" s="1"/>
  <c r="I55" i="79" s="1"/>
  <c r="I56" i="79" s="1"/>
  <c r="I57" i="79" s="1"/>
  <c r="I58" i="79" s="1"/>
  <c r="I59" i="79" s="1"/>
  <c r="I60" i="79" s="1"/>
  <c r="I61" i="79" s="1"/>
  <c r="I62" i="79" s="1"/>
  <c r="I63" i="79" s="1"/>
  <c r="N14" i="79"/>
  <c r="L14" i="79"/>
  <c r="K14" i="79"/>
  <c r="N13" i="79"/>
  <c r="L13" i="79"/>
  <c r="K13" i="79"/>
  <c r="N12" i="79"/>
  <c r="L12" i="79"/>
  <c r="K12" i="79"/>
  <c r="N11" i="79"/>
  <c r="L11" i="79"/>
  <c r="K11" i="79"/>
  <c r="N10" i="79"/>
  <c r="L10" i="79"/>
  <c r="K10" i="79"/>
  <c r="A10" i="79"/>
  <c r="N9" i="79"/>
  <c r="L9" i="79"/>
  <c r="K9" i="79"/>
  <c r="E52" i="68"/>
  <c r="E51" i="68"/>
  <c r="E50" i="68"/>
  <c r="E49" i="68"/>
  <c r="E48" i="68"/>
  <c r="E47" i="68"/>
  <c r="E46" i="68"/>
  <c r="E45" i="68"/>
  <c r="E44" i="68"/>
  <c r="E43" i="68"/>
  <c r="E42" i="68"/>
  <c r="E41" i="68"/>
  <c r="E40" i="68"/>
  <c r="E39" i="68"/>
  <c r="E38" i="68"/>
  <c r="E37" i="68"/>
  <c r="E36" i="68"/>
  <c r="E35" i="68"/>
  <c r="E34" i="68"/>
  <c r="E33" i="68"/>
  <c r="E32" i="68"/>
  <c r="E31" i="68"/>
  <c r="E30" i="68"/>
  <c r="E29" i="68"/>
  <c r="E28" i="68"/>
  <c r="E27" i="68"/>
  <c r="E26" i="68"/>
  <c r="E25" i="68"/>
  <c r="E24" i="68"/>
  <c r="E23" i="68"/>
  <c r="E22" i="68"/>
  <c r="E21" i="68"/>
  <c r="E20" i="68"/>
  <c r="E19" i="68"/>
  <c r="E18" i="68"/>
  <c r="E17" i="68"/>
  <c r="E16" i="68"/>
  <c r="E15" i="68"/>
  <c r="E14" i="68"/>
  <c r="E13" i="68"/>
  <c r="E12" i="68"/>
  <c r="E11" i="68"/>
  <c r="E10" i="68"/>
  <c r="E9" i="68"/>
  <c r="E8" i="68"/>
  <c r="E7" i="68"/>
  <c r="E6" i="68"/>
  <c r="E5" i="68"/>
  <c r="E4" i="68"/>
  <c r="I45" i="67"/>
  <c r="G45" i="67"/>
  <c r="E45" i="67"/>
  <c r="I43" i="67"/>
  <c r="G43" i="67"/>
  <c r="E43" i="67"/>
  <c r="I41" i="67"/>
  <c r="G41" i="67"/>
  <c r="E41" i="67"/>
  <c r="I39" i="67"/>
  <c r="G39" i="67"/>
  <c r="E39" i="67"/>
  <c r="I37" i="67"/>
  <c r="G37" i="67"/>
  <c r="E37" i="67"/>
  <c r="I35" i="67"/>
  <c r="G35" i="67"/>
  <c r="E35" i="67"/>
  <c r="I33" i="67"/>
  <c r="G33" i="67"/>
  <c r="E33" i="67"/>
  <c r="I31" i="67"/>
  <c r="G31" i="67"/>
  <c r="E31" i="67"/>
  <c r="I29" i="67"/>
  <c r="G29" i="67"/>
  <c r="E29" i="67"/>
  <c r="I27" i="67"/>
  <c r="G27" i="67"/>
  <c r="E27" i="67"/>
  <c r="I25" i="67"/>
  <c r="G25" i="67"/>
  <c r="E25" i="67"/>
  <c r="I23" i="67"/>
  <c r="G23" i="67"/>
  <c r="E23" i="67"/>
  <c r="I21" i="67"/>
  <c r="G21" i="67"/>
  <c r="E21" i="67"/>
  <c r="I19" i="67"/>
  <c r="G19" i="67"/>
  <c r="E19" i="67"/>
  <c r="I17" i="67"/>
  <c r="G17" i="67"/>
  <c r="E17" i="67"/>
  <c r="I15" i="67"/>
  <c r="G15" i="67"/>
  <c r="E15" i="67"/>
  <c r="I13" i="67"/>
  <c r="G13" i="67"/>
  <c r="E13" i="67"/>
  <c r="I11" i="67"/>
  <c r="G11" i="67"/>
  <c r="E11" i="67"/>
  <c r="I9" i="67"/>
  <c r="G9" i="67"/>
  <c r="E9" i="67"/>
  <c r="I7" i="67"/>
  <c r="G7" i="67"/>
  <c r="E7" i="67"/>
  <c r="I5" i="67"/>
  <c r="G5" i="67"/>
  <c r="E5" i="67"/>
  <c r="AF54" i="66"/>
  <c r="Y54" i="66"/>
  <c r="H54" i="66"/>
  <c r="AF53" i="66"/>
  <c r="Y53" i="66"/>
  <c r="H53" i="66"/>
  <c r="AF52" i="66"/>
  <c r="Y52" i="66"/>
  <c r="H52" i="66"/>
  <c r="AF51" i="66"/>
  <c r="Y51" i="66"/>
  <c r="H51" i="66"/>
  <c r="AF50" i="66"/>
  <c r="Y50" i="66"/>
  <c r="H50" i="66"/>
  <c r="AF49" i="66"/>
  <c r="Y49" i="66"/>
  <c r="H49" i="66"/>
  <c r="AF48" i="66"/>
  <c r="Y48" i="66"/>
  <c r="H48" i="66"/>
  <c r="AF47" i="66"/>
  <c r="Y47" i="66"/>
  <c r="H47" i="66"/>
  <c r="AF46" i="66"/>
  <c r="Y46" i="66"/>
  <c r="H46" i="66"/>
  <c r="AF45" i="66"/>
  <c r="Y45" i="66"/>
  <c r="H45" i="66"/>
  <c r="AF44" i="66"/>
  <c r="Y44" i="66"/>
  <c r="H44" i="66"/>
  <c r="AF43" i="66"/>
  <c r="Y43" i="66"/>
  <c r="H43" i="66"/>
  <c r="AF42" i="66"/>
  <c r="Y42" i="66"/>
  <c r="H42" i="66"/>
  <c r="AF41" i="66"/>
  <c r="Y41" i="66"/>
  <c r="H41" i="66"/>
  <c r="AF40" i="66"/>
  <c r="Y40" i="66"/>
  <c r="H40" i="66"/>
  <c r="AF39" i="66"/>
  <c r="Y39" i="66"/>
  <c r="H39" i="66"/>
  <c r="AF38" i="66"/>
  <c r="Y38" i="66"/>
  <c r="H38" i="66"/>
  <c r="AF37" i="66"/>
  <c r="Y37" i="66"/>
  <c r="H37" i="66"/>
  <c r="AF36" i="66"/>
  <c r="Y36" i="66"/>
  <c r="H36" i="66"/>
  <c r="AF35" i="66"/>
  <c r="Y35" i="66"/>
  <c r="H35" i="66"/>
  <c r="AF34" i="66"/>
  <c r="Y34" i="66"/>
  <c r="H34" i="66"/>
  <c r="AF33" i="66"/>
  <c r="Y33" i="66"/>
  <c r="H33" i="66"/>
  <c r="AF32" i="66"/>
  <c r="Y32" i="66"/>
  <c r="H32" i="66"/>
  <c r="AF31" i="66"/>
  <c r="Y31" i="66"/>
  <c r="H31" i="66"/>
  <c r="AF30" i="66"/>
  <c r="Y30" i="66"/>
  <c r="H30" i="66"/>
  <c r="AF29" i="66"/>
  <c r="Y29" i="66"/>
  <c r="H29" i="66"/>
  <c r="AF28" i="66"/>
  <c r="Y28" i="66"/>
  <c r="H28" i="66"/>
  <c r="AF27" i="66"/>
  <c r="Y27" i="66"/>
  <c r="H27" i="66"/>
  <c r="AF26" i="66"/>
  <c r="Y26" i="66"/>
  <c r="H26" i="66"/>
  <c r="AF25" i="66"/>
  <c r="Y25" i="66"/>
  <c r="H25" i="66"/>
  <c r="AF24" i="66"/>
  <c r="Y24" i="66"/>
  <c r="H24" i="66"/>
  <c r="AF23" i="66"/>
  <c r="Y23" i="66"/>
  <c r="H23" i="66"/>
  <c r="AF22" i="66"/>
  <c r="Y22" i="66"/>
  <c r="H22" i="66"/>
  <c r="AF21" i="66"/>
  <c r="Y21" i="66"/>
  <c r="H21" i="66"/>
  <c r="AF20" i="66"/>
  <c r="Y20" i="66"/>
  <c r="H20" i="66"/>
  <c r="AF19" i="66"/>
  <c r="Y19" i="66"/>
  <c r="H19" i="66"/>
  <c r="AF18" i="66"/>
  <c r="Y18" i="66"/>
  <c r="H18" i="66"/>
  <c r="AF17" i="66"/>
  <c r="Y17" i="66"/>
  <c r="H17" i="66"/>
  <c r="AF16" i="66"/>
  <c r="Y16" i="66"/>
  <c r="H16" i="66"/>
  <c r="AF15" i="66"/>
  <c r="Y15" i="66"/>
  <c r="H15" i="66"/>
  <c r="AF14" i="66"/>
  <c r="Y14" i="66"/>
  <c r="H14" i="66"/>
  <c r="AF13" i="66"/>
  <c r="Y13" i="66"/>
  <c r="H13" i="66"/>
  <c r="AF12" i="66"/>
  <c r="Y12" i="66"/>
  <c r="H12" i="66"/>
  <c r="AF11" i="66"/>
  <c r="Y11" i="66"/>
  <c r="H11" i="66"/>
  <c r="AF10" i="66"/>
  <c r="Y10" i="66"/>
  <c r="H10" i="66"/>
  <c r="AF9" i="66"/>
  <c r="Y9" i="66"/>
  <c r="H9" i="66"/>
  <c r="AF8" i="66"/>
  <c r="Y8" i="66"/>
  <c r="H8" i="66"/>
  <c r="AF7" i="66"/>
  <c r="Y7" i="66"/>
  <c r="H7" i="66"/>
  <c r="AF6" i="66"/>
  <c r="Y6" i="66"/>
  <c r="L6" i="66"/>
  <c r="L7" i="66" s="1"/>
  <c r="L8" i="66" s="1"/>
  <c r="L9" i="66" s="1"/>
  <c r="L10" i="66" s="1"/>
  <c r="L11" i="66" s="1"/>
  <c r="L12" i="66" s="1"/>
  <c r="L13" i="66" s="1"/>
  <c r="L14" i="66" s="1"/>
  <c r="L15" i="66" s="1"/>
  <c r="L16" i="66" s="1"/>
  <c r="L17" i="66" s="1"/>
  <c r="L18" i="66" s="1"/>
  <c r="L19" i="66" s="1"/>
  <c r="L20" i="66" s="1"/>
  <c r="L21" i="66" s="1"/>
  <c r="L22" i="66" s="1"/>
  <c r="L23" i="66" s="1"/>
  <c r="L24" i="66" s="1"/>
  <c r="L25" i="66" s="1"/>
  <c r="L26" i="66" s="1"/>
  <c r="L27" i="66" s="1"/>
  <c r="L28" i="66" s="1"/>
  <c r="L29" i="66" s="1"/>
  <c r="L30" i="66" s="1"/>
  <c r="L31" i="66" s="1"/>
  <c r="L32" i="66" s="1"/>
  <c r="L33" i="66" s="1"/>
  <c r="L34" i="66" s="1"/>
  <c r="L35" i="66" s="1"/>
  <c r="L36" i="66" s="1"/>
  <c r="L37" i="66" s="1"/>
  <c r="L38" i="66" s="1"/>
  <c r="L39" i="66" s="1"/>
  <c r="L40" i="66" s="1"/>
  <c r="L41" i="66" s="1"/>
  <c r="L42" i="66" s="1"/>
  <c r="L43" i="66" s="1"/>
  <c r="L44" i="66" s="1"/>
  <c r="L45" i="66" s="1"/>
  <c r="L46" i="66" s="1"/>
  <c r="L47" i="66" s="1"/>
  <c r="L48" i="66" s="1"/>
  <c r="L49" i="66" s="1"/>
  <c r="L50" i="66" s="1"/>
  <c r="L51" i="66" s="1"/>
  <c r="L52" i="66" s="1"/>
  <c r="L53" i="66" s="1"/>
  <c r="L54" i="66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24" i="66" s="1"/>
  <c r="K25" i="66" s="1"/>
  <c r="K26" i="66" s="1"/>
  <c r="K27" i="66" s="1"/>
  <c r="K28" i="66" s="1"/>
  <c r="K29" i="66" s="1"/>
  <c r="K30" i="66" s="1"/>
  <c r="K31" i="66" s="1"/>
  <c r="K32" i="66" s="1"/>
  <c r="K33" i="66" s="1"/>
  <c r="K34" i="66" s="1"/>
  <c r="K35" i="66" s="1"/>
  <c r="K36" i="66" s="1"/>
  <c r="K37" i="66" s="1"/>
  <c r="K38" i="66" s="1"/>
  <c r="K39" i="66" s="1"/>
  <c r="K40" i="66" s="1"/>
  <c r="K41" i="66" s="1"/>
  <c r="K42" i="66" s="1"/>
  <c r="K43" i="66" s="1"/>
  <c r="K44" i="66" s="1"/>
  <c r="K45" i="66" s="1"/>
  <c r="K46" i="66" s="1"/>
  <c r="K47" i="66" s="1"/>
  <c r="K48" i="66" s="1"/>
  <c r="K49" i="66" s="1"/>
  <c r="K50" i="66" s="1"/>
  <c r="K51" i="66" s="1"/>
  <c r="K52" i="66" s="1"/>
  <c r="K53" i="66" s="1"/>
  <c r="K54" i="66" s="1"/>
  <c r="J6" i="66"/>
  <c r="J7" i="66" s="1"/>
  <c r="J8" i="66" s="1"/>
  <c r="J9" i="66" s="1"/>
  <c r="J10" i="66" s="1"/>
  <c r="J11" i="66" s="1"/>
  <c r="J12" i="66" s="1"/>
  <c r="J13" i="66" s="1"/>
  <c r="J14" i="66" s="1"/>
  <c r="J15" i="66" s="1"/>
  <c r="J16" i="66" s="1"/>
  <c r="J17" i="66" s="1"/>
  <c r="J18" i="66" s="1"/>
  <c r="J19" i="66" s="1"/>
  <c r="J20" i="66" s="1"/>
  <c r="J21" i="66" s="1"/>
  <c r="J22" i="66" s="1"/>
  <c r="J23" i="66" s="1"/>
  <c r="J24" i="66" s="1"/>
  <c r="J25" i="66" s="1"/>
  <c r="J26" i="66" s="1"/>
  <c r="J27" i="66" s="1"/>
  <c r="J28" i="66" s="1"/>
  <c r="J29" i="66" s="1"/>
  <c r="J30" i="66" s="1"/>
  <c r="J31" i="66" s="1"/>
  <c r="J32" i="66" s="1"/>
  <c r="J33" i="66" s="1"/>
  <c r="J34" i="66" s="1"/>
  <c r="J35" i="66" s="1"/>
  <c r="J36" i="66" s="1"/>
  <c r="J37" i="66" s="1"/>
  <c r="J38" i="66" s="1"/>
  <c r="J39" i="66" s="1"/>
  <c r="J40" i="66" s="1"/>
  <c r="J41" i="66" s="1"/>
  <c r="J42" i="66" s="1"/>
  <c r="J43" i="66" s="1"/>
  <c r="J44" i="66" s="1"/>
  <c r="J45" i="66" s="1"/>
  <c r="J46" i="66" s="1"/>
  <c r="J47" i="66" s="1"/>
  <c r="J48" i="66" s="1"/>
  <c r="J49" i="66" s="1"/>
  <c r="J50" i="66" s="1"/>
  <c r="J51" i="66" s="1"/>
  <c r="J52" i="66" s="1"/>
  <c r="J53" i="66" s="1"/>
  <c r="J54" i="66" s="1"/>
  <c r="I6" i="66"/>
  <c r="I7" i="66" s="1"/>
  <c r="I8" i="66" s="1"/>
  <c r="I9" i="66" s="1"/>
  <c r="H6" i="66"/>
  <c r="C6" i="66"/>
  <c r="C7" i="66" s="1"/>
  <c r="C8" i="66" s="1"/>
  <c r="C9" i="66" s="1"/>
  <c r="C10" i="66" s="1"/>
  <c r="C11" i="66" s="1"/>
  <c r="C12" i="66" s="1"/>
  <c r="C13" i="66" s="1"/>
  <c r="C14" i="66" s="1"/>
  <c r="C15" i="66" s="1"/>
  <c r="C16" i="66" s="1"/>
  <c r="C17" i="66" s="1"/>
  <c r="C18" i="66" s="1"/>
  <c r="C19" i="66" s="1"/>
  <c r="C20" i="66" s="1"/>
  <c r="C21" i="66" s="1"/>
  <c r="C22" i="66" s="1"/>
  <c r="C23" i="66" s="1"/>
  <c r="C24" i="66" s="1"/>
  <c r="C25" i="66" s="1"/>
  <c r="C26" i="66" s="1"/>
  <c r="C27" i="66" s="1"/>
  <c r="C28" i="66" s="1"/>
  <c r="C29" i="66" s="1"/>
  <c r="C30" i="66" s="1"/>
  <c r="C31" i="66" s="1"/>
  <c r="C32" i="66" s="1"/>
  <c r="C33" i="66" s="1"/>
  <c r="C34" i="66" s="1"/>
  <c r="C35" i="66" s="1"/>
  <c r="C36" i="66" s="1"/>
  <c r="C37" i="66" s="1"/>
  <c r="C38" i="66" s="1"/>
  <c r="C39" i="66" s="1"/>
  <c r="C40" i="66" s="1"/>
  <c r="C41" i="66" s="1"/>
  <c r="C42" i="66" s="1"/>
  <c r="C43" i="66" s="1"/>
  <c r="C44" i="66" s="1"/>
  <c r="C45" i="66" s="1"/>
  <c r="C46" i="66" s="1"/>
  <c r="C47" i="66" s="1"/>
  <c r="C48" i="66" s="1"/>
  <c r="C49" i="66" s="1"/>
  <c r="C50" i="66" s="1"/>
  <c r="C51" i="66" s="1"/>
  <c r="C52" i="66" s="1"/>
  <c r="C53" i="66" s="1"/>
  <c r="C54" i="66" s="1"/>
  <c r="AF5" i="66"/>
  <c r="Y5" i="66"/>
  <c r="M5" i="66"/>
  <c r="H5" i="66"/>
  <c r="Y14" i="65"/>
  <c r="R14" i="65"/>
  <c r="Y13" i="65"/>
  <c r="R13" i="65"/>
  <c r="Y12" i="65"/>
  <c r="R12" i="65"/>
  <c r="Y11" i="65"/>
  <c r="R11" i="65"/>
  <c r="Y10" i="65"/>
  <c r="R10" i="65"/>
  <c r="Y9" i="65"/>
  <c r="R9" i="65"/>
  <c r="Y8" i="65"/>
  <c r="R8" i="65"/>
  <c r="I8" i="65"/>
  <c r="I11" i="65" s="1"/>
  <c r="Y7" i="65"/>
  <c r="R7" i="65"/>
  <c r="Y6" i="65"/>
  <c r="R6" i="65"/>
  <c r="K6" i="65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K24" i="65" s="1"/>
  <c r="J6" i="65"/>
  <c r="J7" i="65" s="1"/>
  <c r="J8" i="65" s="1"/>
  <c r="J9" i="65" s="1"/>
  <c r="J10" i="65" s="1"/>
  <c r="J11" i="65" s="1"/>
  <c r="J12" i="65" s="1"/>
  <c r="J13" i="65" s="1"/>
  <c r="J14" i="65" s="1"/>
  <c r="J15" i="65" s="1"/>
  <c r="J16" i="65" s="1"/>
  <c r="J17" i="65" s="1"/>
  <c r="J18" i="65" s="1"/>
  <c r="J19" i="65" s="1"/>
  <c r="J20" i="65" s="1"/>
  <c r="J21" i="65" s="1"/>
  <c r="J22" i="65" s="1"/>
  <c r="J23" i="65" s="1"/>
  <c r="J24" i="65" s="1"/>
  <c r="I6" i="65"/>
  <c r="I7" i="65" s="1"/>
  <c r="H6" i="65"/>
  <c r="H7" i="65" s="1"/>
  <c r="H8" i="65" s="1"/>
  <c r="H9" i="65" s="1"/>
  <c r="H10" i="65" s="1"/>
  <c r="H11" i="65" s="1"/>
  <c r="H12" i="65" s="1"/>
  <c r="H13" i="65" s="1"/>
  <c r="H14" i="65" s="1"/>
  <c r="H15" i="65" s="1"/>
  <c r="H16" i="65" s="1"/>
  <c r="H17" i="65" s="1"/>
  <c r="H18" i="65" s="1"/>
  <c r="H19" i="65" s="1"/>
  <c r="H20" i="65" s="1"/>
  <c r="H21" i="65" s="1"/>
  <c r="H22" i="65" s="1"/>
  <c r="H23" i="65" s="1"/>
  <c r="H24" i="65" s="1"/>
  <c r="G6" i="65"/>
  <c r="G7" i="65" s="1"/>
  <c r="G8" i="65" s="1"/>
  <c r="G9" i="65" s="1"/>
  <c r="G10" i="65" s="1"/>
  <c r="G11" i="65" s="1"/>
  <c r="G12" i="65" s="1"/>
  <c r="G13" i="65" s="1"/>
  <c r="G14" i="65" s="1"/>
  <c r="G15" i="65" s="1"/>
  <c r="G16" i="65" s="1"/>
  <c r="G17" i="65" s="1"/>
  <c r="G18" i="65" s="1"/>
  <c r="G19" i="65" s="1"/>
  <c r="G20" i="65" s="1"/>
  <c r="G21" i="65" s="1"/>
  <c r="G22" i="65" s="1"/>
  <c r="G23" i="65" s="1"/>
  <c r="G24" i="65" s="1"/>
  <c r="F6" i="65"/>
  <c r="F7" i="65" s="1"/>
  <c r="F8" i="65" s="1"/>
  <c r="F9" i="65" s="1"/>
  <c r="F10" i="65" s="1"/>
  <c r="F11" i="65" s="1"/>
  <c r="F12" i="65" s="1"/>
  <c r="F13" i="65" s="1"/>
  <c r="F14" i="65" s="1"/>
  <c r="F15" i="65" s="1"/>
  <c r="F16" i="65" s="1"/>
  <c r="F17" i="65" s="1"/>
  <c r="F18" i="65" s="1"/>
  <c r="F19" i="65" s="1"/>
  <c r="F20" i="65" s="1"/>
  <c r="F21" i="65" s="1"/>
  <c r="F22" i="65" s="1"/>
  <c r="F23" i="65" s="1"/>
  <c r="F24" i="65" s="1"/>
  <c r="E6" i="65"/>
  <c r="E7" i="65" s="1"/>
  <c r="E8" i="65" s="1"/>
  <c r="E9" i="65" s="1"/>
  <c r="E10" i="65" s="1"/>
  <c r="E11" i="65" s="1"/>
  <c r="E12" i="65" s="1"/>
  <c r="E13" i="65" s="1"/>
  <c r="E14" i="65" s="1"/>
  <c r="E15" i="65" s="1"/>
  <c r="E16" i="65" s="1"/>
  <c r="E17" i="65" s="1"/>
  <c r="E18" i="65" s="1"/>
  <c r="E19" i="65" s="1"/>
  <c r="E20" i="65" s="1"/>
  <c r="E21" i="65" s="1"/>
  <c r="E22" i="65" s="1"/>
  <c r="E23" i="65" s="1"/>
  <c r="E24" i="65" s="1"/>
  <c r="Y5" i="65"/>
  <c r="R5" i="65"/>
  <c r="B10" i="79" l="1"/>
  <c r="C10" i="82"/>
  <c r="A32" i="82"/>
  <c r="C31" i="82"/>
  <c r="A77" i="82"/>
  <c r="C76" i="82"/>
  <c r="A39" i="82"/>
  <c r="C38" i="82"/>
  <c r="A106" i="82"/>
  <c r="C105" i="82"/>
  <c r="A25" i="82"/>
  <c r="C24" i="82"/>
  <c r="A53" i="82"/>
  <c r="C52" i="82"/>
  <c r="A18" i="82"/>
  <c r="C17" i="82"/>
  <c r="A46" i="82"/>
  <c r="C45" i="82"/>
  <c r="C7" i="88"/>
  <c r="M6" i="66"/>
  <c r="A25" i="79"/>
  <c r="A53" i="79"/>
  <c r="A32" i="79"/>
  <c r="A11" i="79"/>
  <c r="B11" i="79" s="1"/>
  <c r="A18" i="79"/>
  <c r="A46" i="79"/>
  <c r="A39" i="79"/>
  <c r="S16" i="81"/>
  <c r="S17" i="81" s="1"/>
  <c r="S18" i="81" s="1"/>
  <c r="S19" i="81" s="1"/>
  <c r="S20" i="81" s="1"/>
  <c r="S21" i="81" s="1"/>
  <c r="S22" i="81" s="1"/>
  <c r="S23" i="81" s="1"/>
  <c r="S24" i="81" s="1"/>
  <c r="AK113" i="81"/>
  <c r="AK120" i="81"/>
  <c r="AK121" i="81" s="1"/>
  <c r="A11" i="82"/>
  <c r="C11" i="82" s="1"/>
  <c r="I14" i="65"/>
  <c r="I12" i="65"/>
  <c r="I13" i="65" s="1"/>
  <c r="I9" i="65"/>
  <c r="I10" i="65" s="1"/>
  <c r="B25" i="81"/>
  <c r="B16" i="81"/>
  <c r="M8" i="66"/>
  <c r="AK65" i="81"/>
  <c r="M7" i="66"/>
  <c r="M9" i="66"/>
  <c r="I10" i="66"/>
  <c r="B7" i="81"/>
  <c r="A73" i="81"/>
  <c r="F64" i="81"/>
  <c r="A64" i="81"/>
  <c r="A65" i="81" s="1"/>
  <c r="A66" i="81" s="1"/>
  <c r="A67" i="81" s="1"/>
  <c r="A68" i="81" s="1"/>
  <c r="A69" i="81" s="1"/>
  <c r="A70" i="81" s="1"/>
  <c r="A71" i="81" s="1"/>
  <c r="A72" i="81" s="1"/>
  <c r="AS27" i="81"/>
  <c r="AK75" i="81"/>
  <c r="AK85" i="81"/>
  <c r="AC37" i="81"/>
  <c r="S26" i="81"/>
  <c r="S27" i="81" s="1"/>
  <c r="S28" i="81" s="1"/>
  <c r="S29" i="81" s="1"/>
  <c r="S30" i="81" s="1"/>
  <c r="S31" i="81" s="1"/>
  <c r="S32" i="81" s="1"/>
  <c r="S33" i="81" s="1"/>
  <c r="S34" i="81" s="1"/>
  <c r="S35" i="81"/>
  <c r="S36" i="81" s="1"/>
  <c r="S37" i="81" s="1"/>
  <c r="S38" i="81" s="1"/>
  <c r="S39" i="81" s="1"/>
  <c r="S40" i="81" s="1"/>
  <c r="S41" i="81" s="1"/>
  <c r="S42" i="81" s="1"/>
  <c r="S43" i="81" s="1"/>
  <c r="S44" i="81" s="1"/>
  <c r="AQ17" i="81"/>
  <c r="B66" i="81"/>
  <c r="Y96" i="81"/>
  <c r="AO7" i="81"/>
  <c r="AK128" i="81"/>
  <c r="I15" i="65" l="1"/>
  <c r="I16" i="65" s="1"/>
  <c r="I17" i="65"/>
  <c r="A19" i="82"/>
  <c r="C18" i="82"/>
  <c r="A26" i="82"/>
  <c r="C25" i="82"/>
  <c r="A107" i="82"/>
  <c r="C106" i="82"/>
  <c r="A78" i="82"/>
  <c r="C77" i="82"/>
  <c r="C9" i="88"/>
  <c r="A47" i="82"/>
  <c r="C46" i="82"/>
  <c r="A54" i="82"/>
  <c r="C53" i="82"/>
  <c r="A40" i="82"/>
  <c r="C39" i="82"/>
  <c r="A33" i="82"/>
  <c r="C32" i="82"/>
  <c r="A47" i="79"/>
  <c r="A12" i="79"/>
  <c r="A54" i="79"/>
  <c r="A40" i="79"/>
  <c r="A19" i="79"/>
  <c r="A33" i="79"/>
  <c r="A26" i="79"/>
  <c r="A12" i="82"/>
  <c r="C134" i="81"/>
  <c r="AK122" i="81"/>
  <c r="B17" i="81"/>
  <c r="AK86" i="81"/>
  <c r="F74" i="81"/>
  <c r="F65" i="81"/>
  <c r="F66" i="81" s="1"/>
  <c r="F67" i="81" s="1"/>
  <c r="F68" i="81" s="1"/>
  <c r="F69" i="81" s="1"/>
  <c r="F70" i="81" s="1"/>
  <c r="F71" i="81" s="1"/>
  <c r="F72" i="81" s="1"/>
  <c r="AO8" i="81"/>
  <c r="AQ18" i="81"/>
  <c r="A83" i="81"/>
  <c r="A74" i="81"/>
  <c r="A75" i="81" s="1"/>
  <c r="A76" i="81" s="1"/>
  <c r="A77" i="81" s="1"/>
  <c r="A78" i="81" s="1"/>
  <c r="A79" i="81" s="1"/>
  <c r="A80" i="81" s="1"/>
  <c r="A81" i="81" s="1"/>
  <c r="A82" i="81" s="1"/>
  <c r="B26" i="81"/>
  <c r="B35" i="81"/>
  <c r="B67" i="81"/>
  <c r="AK76" i="81"/>
  <c r="B8" i="81"/>
  <c r="AK66" i="81"/>
  <c r="I11" i="66"/>
  <c r="M10" i="66"/>
  <c r="Y97" i="81"/>
  <c r="AK127" i="81"/>
  <c r="AC38" i="81"/>
  <c r="AS28" i="81"/>
  <c r="B12" i="79" l="1"/>
  <c r="I18" i="65"/>
  <c r="I19" i="65" s="1"/>
  <c r="I20" i="65"/>
  <c r="C12" i="82"/>
  <c r="A34" i="82"/>
  <c r="C33" i="82"/>
  <c r="A27" i="82"/>
  <c r="C26" i="82"/>
  <c r="C10" i="88"/>
  <c r="A41" i="82"/>
  <c r="C40" i="82"/>
  <c r="A55" i="82"/>
  <c r="C54" i="82"/>
  <c r="A48" i="82"/>
  <c r="C47" i="82"/>
  <c r="A79" i="82"/>
  <c r="C78" i="82"/>
  <c r="A108" i="82"/>
  <c r="C107" i="82"/>
  <c r="A20" i="82"/>
  <c r="C19" i="82"/>
  <c r="A34" i="79"/>
  <c r="A41" i="79"/>
  <c r="A13" i="79"/>
  <c r="A27" i="79"/>
  <c r="A20" i="79"/>
  <c r="A55" i="79"/>
  <c r="A48" i="79"/>
  <c r="A13" i="82"/>
  <c r="AK126" i="81"/>
  <c r="B9" i="81"/>
  <c r="AO9" i="81"/>
  <c r="F84" i="81"/>
  <c r="F75" i="81"/>
  <c r="F76" i="81" s="1"/>
  <c r="F77" i="81" s="1"/>
  <c r="F78" i="81" s="1"/>
  <c r="F79" i="81" s="1"/>
  <c r="F80" i="81" s="1"/>
  <c r="F81" i="81" s="1"/>
  <c r="F82" i="81" s="1"/>
  <c r="AC39" i="81"/>
  <c r="AK67" i="81"/>
  <c r="B18" i="81"/>
  <c r="M11" i="66"/>
  <c r="I12" i="66"/>
  <c r="B36" i="81"/>
  <c r="B45" i="81"/>
  <c r="AK87" i="81"/>
  <c r="B27" i="81"/>
  <c r="AQ19" i="81"/>
  <c r="AS29" i="81"/>
  <c r="Y98" i="81"/>
  <c r="AK77" i="81"/>
  <c r="B68" i="81"/>
  <c r="A93" i="81"/>
  <c r="A84" i="81"/>
  <c r="A85" i="81" s="1"/>
  <c r="A86" i="81" s="1"/>
  <c r="A87" i="81" s="1"/>
  <c r="A88" i="81" s="1"/>
  <c r="A89" i="81" s="1"/>
  <c r="A90" i="81" s="1"/>
  <c r="A91" i="81" s="1"/>
  <c r="A92" i="81" s="1"/>
  <c r="I21" i="65" l="1"/>
  <c r="I22" i="65" s="1"/>
  <c r="I23" i="65"/>
  <c r="C13" i="82"/>
  <c r="B13" i="79"/>
  <c r="A109" i="82"/>
  <c r="C108" i="82"/>
  <c r="A49" i="82"/>
  <c r="C49" i="82" s="1"/>
  <c r="C48" i="82"/>
  <c r="A56" i="82"/>
  <c r="C55" i="82"/>
  <c r="C11" i="88"/>
  <c r="A21" i="82"/>
  <c r="C21" i="82" s="1"/>
  <c r="C20" i="82"/>
  <c r="A80" i="82"/>
  <c r="C79" i="82"/>
  <c r="A42" i="82"/>
  <c r="C42" i="82" s="1"/>
  <c r="C41" i="82"/>
  <c r="A28" i="82"/>
  <c r="C28" i="82" s="1"/>
  <c r="C27" i="82"/>
  <c r="A35" i="82"/>
  <c r="C35" i="82" s="1"/>
  <c r="C34" i="82"/>
  <c r="A56" i="79"/>
  <c r="A28" i="79"/>
  <c r="A42" i="79"/>
  <c r="A49" i="79"/>
  <c r="A21" i="79"/>
  <c r="A14" i="79"/>
  <c r="A35" i="79"/>
  <c r="A14" i="82"/>
  <c r="C14" i="82" s="1"/>
  <c r="C8" i="81"/>
  <c r="A94" i="81"/>
  <c r="A95" i="81" s="1"/>
  <c r="A96" i="81" s="1"/>
  <c r="A97" i="81" s="1"/>
  <c r="A98" i="81" s="1"/>
  <c r="A99" i="81" s="1"/>
  <c r="A100" i="81" s="1"/>
  <c r="A101" i="81" s="1"/>
  <c r="A102" i="81" s="1"/>
  <c r="A103" i="81"/>
  <c r="B19" i="81"/>
  <c r="AC40" i="81"/>
  <c r="AS30" i="81"/>
  <c r="I13" i="66"/>
  <c r="M12" i="66"/>
  <c r="AK78" i="81"/>
  <c r="B46" i="81"/>
  <c r="Y99" i="81"/>
  <c r="AQ20" i="81"/>
  <c r="AK88" i="81"/>
  <c r="AO10" i="81"/>
  <c r="B69" i="81"/>
  <c r="B28" i="81"/>
  <c r="B10" i="81"/>
  <c r="B37" i="81"/>
  <c r="AK68" i="81"/>
  <c r="F94" i="81"/>
  <c r="F85" i="81"/>
  <c r="F86" i="81" s="1"/>
  <c r="F87" i="81" s="1"/>
  <c r="F88" i="81" s="1"/>
  <c r="F89" i="81" s="1"/>
  <c r="F90" i="81" s="1"/>
  <c r="F91" i="81" s="1"/>
  <c r="F92" i="81" s="1"/>
  <c r="AK125" i="81"/>
  <c r="C17" i="81" l="1"/>
  <c r="C36" i="81"/>
  <c r="C56" i="81"/>
  <c r="C45" i="81"/>
  <c r="I24" i="65"/>
  <c r="B56" i="79"/>
  <c r="B27" i="79"/>
  <c r="B21" i="79"/>
  <c r="B35" i="79"/>
  <c r="B42" i="79"/>
  <c r="B32" i="79"/>
  <c r="B26" i="79"/>
  <c r="B18" i="79"/>
  <c r="B39" i="79"/>
  <c r="B33" i="79"/>
  <c r="B45" i="79"/>
  <c r="B19" i="79"/>
  <c r="B30" i="79"/>
  <c r="C7" i="81"/>
  <c r="B14" i="79"/>
  <c r="B28" i="79"/>
  <c r="B47" i="79"/>
  <c r="B38" i="79"/>
  <c r="B23" i="79"/>
  <c r="B55" i="79"/>
  <c r="B24" i="79"/>
  <c r="B25" i="79"/>
  <c r="B46" i="79"/>
  <c r="B52" i="79"/>
  <c r="B31" i="79"/>
  <c r="B34" i="79"/>
  <c r="B49" i="79"/>
  <c r="B17" i="79"/>
  <c r="B20" i="79"/>
  <c r="B54" i="79"/>
  <c r="B41" i="79"/>
  <c r="B48" i="79"/>
  <c r="B40" i="79"/>
  <c r="B53" i="79"/>
  <c r="A81" i="82"/>
  <c r="C80" i="82"/>
  <c r="A57" i="82"/>
  <c r="C56" i="82"/>
  <c r="A110" i="82"/>
  <c r="C109" i="82"/>
  <c r="C12" i="88"/>
  <c r="A57" i="79"/>
  <c r="C5" i="81"/>
  <c r="C16" i="81"/>
  <c r="C15" i="81"/>
  <c r="C9" i="81"/>
  <c r="C27" i="81"/>
  <c r="C18" i="81"/>
  <c r="C6" i="81"/>
  <c r="C25" i="81"/>
  <c r="C35" i="81"/>
  <c r="C26" i="81"/>
  <c r="F95" i="81"/>
  <c r="F96" i="81" s="1"/>
  <c r="F97" i="81" s="1"/>
  <c r="F98" i="81" s="1"/>
  <c r="F99" i="81" s="1"/>
  <c r="F100" i="81" s="1"/>
  <c r="F101" i="81" s="1"/>
  <c r="F102" i="81" s="1"/>
  <c r="F104" i="81"/>
  <c r="B11" i="81"/>
  <c r="C10" i="81"/>
  <c r="AC41" i="81"/>
  <c r="AK69" i="81"/>
  <c r="AO11" i="81"/>
  <c r="Y100" i="81"/>
  <c r="C28" i="81"/>
  <c r="B29" i="81"/>
  <c r="AK79" i="81"/>
  <c r="AS31" i="81"/>
  <c r="C19" i="81"/>
  <c r="B20" i="81"/>
  <c r="AK124" i="81"/>
  <c r="AK89" i="81"/>
  <c r="C37" i="81"/>
  <c r="B38" i="81"/>
  <c r="B70" i="81"/>
  <c r="AQ21" i="81"/>
  <c r="B47" i="81"/>
  <c r="C46" i="81"/>
  <c r="A113" i="81"/>
  <c r="A104" i="81"/>
  <c r="A105" i="81" s="1"/>
  <c r="A106" i="81" s="1"/>
  <c r="A107" i="81" s="1"/>
  <c r="A108" i="81" s="1"/>
  <c r="A109" i="81" s="1"/>
  <c r="A110" i="81" s="1"/>
  <c r="A111" i="81" s="1"/>
  <c r="A112" i="81" s="1"/>
  <c r="M13" i="66"/>
  <c r="I14" i="66"/>
  <c r="B57" i="79" l="1"/>
  <c r="C8" i="88"/>
  <c r="A111" i="82"/>
  <c r="C110" i="82"/>
  <c r="C5" i="70"/>
  <c r="A58" i="82"/>
  <c r="C57" i="82"/>
  <c r="A82" i="82"/>
  <c r="C81" i="82"/>
  <c r="A58" i="79"/>
  <c r="C38" i="81"/>
  <c r="B39" i="81"/>
  <c r="AK123" i="81"/>
  <c r="AK80" i="81"/>
  <c r="I15" i="66"/>
  <c r="M14" i="66"/>
  <c r="B48" i="81"/>
  <c r="C47" i="81"/>
  <c r="B21" i="81"/>
  <c r="C20" i="81"/>
  <c r="AQ22" i="81"/>
  <c r="Y101" i="81"/>
  <c r="AK90" i="81"/>
  <c r="AS32" i="81"/>
  <c r="C29" i="81"/>
  <c r="B30" i="81"/>
  <c r="AO12" i="81"/>
  <c r="AK70" i="81"/>
  <c r="B12" i="81"/>
  <c r="C11" i="81"/>
  <c r="AC42" i="81"/>
  <c r="F105" i="81"/>
  <c r="F106" i="81" s="1"/>
  <c r="F107" i="81" s="1"/>
  <c r="F108" i="81" s="1"/>
  <c r="F109" i="81" s="1"/>
  <c r="F110" i="81" s="1"/>
  <c r="F111" i="81" s="1"/>
  <c r="F112" i="81" s="1"/>
  <c r="F114" i="81"/>
  <c r="A123" i="81"/>
  <c r="A124" i="81" s="1"/>
  <c r="A125" i="81" s="1"/>
  <c r="A126" i="81" s="1"/>
  <c r="A127" i="81" s="1"/>
  <c r="A128" i="81" s="1"/>
  <c r="A129" i="81" s="1"/>
  <c r="A130" i="81" s="1"/>
  <c r="A131" i="81" s="1"/>
  <c r="A132" i="81" s="1"/>
  <c r="A114" i="81"/>
  <c r="A115" i="81" s="1"/>
  <c r="A116" i="81" s="1"/>
  <c r="A117" i="81" s="1"/>
  <c r="A118" i="81" s="1"/>
  <c r="A119" i="81" s="1"/>
  <c r="A120" i="81" s="1"/>
  <c r="A121" i="81" s="1"/>
  <c r="A122" i="81" s="1"/>
  <c r="B71" i="81"/>
  <c r="B58" i="79" l="1"/>
  <c r="A112" i="82"/>
  <c r="C111" i="82"/>
  <c r="A59" i="82"/>
  <c r="C58" i="82"/>
  <c r="C13" i="88"/>
  <c r="A83" i="82"/>
  <c r="C82" i="82"/>
  <c r="A59" i="79"/>
  <c r="F115" i="81"/>
  <c r="F116" i="81" s="1"/>
  <c r="F117" i="81" s="1"/>
  <c r="F118" i="81" s="1"/>
  <c r="F119" i="81" s="1"/>
  <c r="F120" i="81" s="1"/>
  <c r="F121" i="81" s="1"/>
  <c r="F122" i="81" s="1"/>
  <c r="F124" i="81"/>
  <c r="F125" i="81" s="1"/>
  <c r="F126" i="81" s="1"/>
  <c r="F127" i="81" s="1"/>
  <c r="F128" i="81" s="1"/>
  <c r="F129" i="81" s="1"/>
  <c r="F130" i="81" s="1"/>
  <c r="F131" i="81" s="1"/>
  <c r="F132" i="81" s="1"/>
  <c r="AK71" i="81"/>
  <c r="AS33" i="81"/>
  <c r="AQ23" i="81"/>
  <c r="M15" i="66"/>
  <c r="I16" i="66"/>
  <c r="AC43" i="81"/>
  <c r="AO13" i="81"/>
  <c r="AK91" i="81"/>
  <c r="C39" i="81"/>
  <c r="B40" i="81"/>
  <c r="B72" i="81"/>
  <c r="C21" i="81"/>
  <c r="B22" i="81"/>
  <c r="C30" i="81"/>
  <c r="B31" i="81"/>
  <c r="AK81" i="81"/>
  <c r="B13" i="81"/>
  <c r="C12" i="81"/>
  <c r="Y102" i="81"/>
  <c r="B49" i="81"/>
  <c r="C48" i="81"/>
  <c r="B59" i="79" l="1"/>
  <c r="A84" i="82"/>
  <c r="C83" i="82"/>
  <c r="A113" i="82"/>
  <c r="C112" i="82"/>
  <c r="C14" i="88"/>
  <c r="A60" i="82"/>
  <c r="C59" i="82"/>
  <c r="A60" i="79"/>
  <c r="B60" i="79" s="1"/>
  <c r="B73" i="81"/>
  <c r="AO14" i="81"/>
  <c r="AK82" i="81"/>
  <c r="C31" i="81"/>
  <c r="B32" i="81"/>
  <c r="C22" i="81"/>
  <c r="B23" i="81"/>
  <c r="C40" i="81"/>
  <c r="B41" i="81"/>
  <c r="AS34" i="81"/>
  <c r="AC44" i="81"/>
  <c r="I17" i="66"/>
  <c r="M16" i="66"/>
  <c r="AK72" i="81"/>
  <c r="B50" i="81"/>
  <c r="C49" i="81"/>
  <c r="B14" i="81"/>
  <c r="C14" i="81" s="1"/>
  <c r="C13" i="81"/>
  <c r="AK92" i="81"/>
  <c r="AQ24" i="81"/>
  <c r="A114" i="82" l="1"/>
  <c r="C113" i="82"/>
  <c r="A61" i="82"/>
  <c r="C60" i="82"/>
  <c r="C15" i="88"/>
  <c r="A85" i="82"/>
  <c r="C84" i="82"/>
  <c r="A61" i="79"/>
  <c r="B61" i="79" s="1"/>
  <c r="C6" i="88"/>
  <c r="E4" i="84"/>
  <c r="C5" i="88"/>
  <c r="B51" i="81"/>
  <c r="C50" i="81"/>
  <c r="M17" i="66"/>
  <c r="I18" i="66"/>
  <c r="C23" i="81"/>
  <c r="B24" i="81"/>
  <c r="C24" i="81" s="1"/>
  <c r="B74" i="81"/>
  <c r="C32" i="81"/>
  <c r="B33" i="81"/>
  <c r="C41" i="81"/>
  <c r="B42" i="81"/>
  <c r="A115" i="82" l="1"/>
  <c r="C114" i="82"/>
  <c r="A86" i="82"/>
  <c r="C85" i="82"/>
  <c r="A62" i="82"/>
  <c r="C61" i="82"/>
  <c r="A62" i="79"/>
  <c r="B62" i="79" s="1"/>
  <c r="B75" i="81"/>
  <c r="C33" i="81"/>
  <c r="B34" i="81"/>
  <c r="C34" i="81" s="1"/>
  <c r="C42" i="81"/>
  <c r="B43" i="81"/>
  <c r="I19" i="66"/>
  <c r="M18" i="66"/>
  <c r="B52" i="81"/>
  <c r="C51" i="81"/>
  <c r="A63" i="82" l="1"/>
  <c r="C63" i="82" s="1"/>
  <c r="C62" i="82"/>
  <c r="A87" i="82"/>
  <c r="C86" i="82"/>
  <c r="A116" i="82"/>
  <c r="C115" i="82"/>
  <c r="A63" i="79"/>
  <c r="B63" i="79" s="1"/>
  <c r="C43" i="81"/>
  <c r="B44" i="81"/>
  <c r="C44" i="81" s="1"/>
  <c r="B53" i="81"/>
  <c r="C52" i="81"/>
  <c r="M19" i="66"/>
  <c r="I20" i="66"/>
  <c r="B76" i="81"/>
  <c r="A117" i="82" l="1"/>
  <c r="C116" i="82"/>
  <c r="A88" i="82"/>
  <c r="C87" i="82"/>
  <c r="B54" i="81"/>
  <c r="C54" i="81" s="1"/>
  <c r="C53" i="81"/>
  <c r="B77" i="81"/>
  <c r="I21" i="66"/>
  <c r="M20" i="66"/>
  <c r="A89" i="82" l="1"/>
  <c r="C88" i="82"/>
  <c r="A118" i="82"/>
  <c r="C117" i="82"/>
  <c r="B78" i="81"/>
  <c r="M21" i="66"/>
  <c r="I22" i="66"/>
  <c r="A119" i="82" l="1"/>
  <c r="C118" i="82"/>
  <c r="A90" i="82"/>
  <c r="C89" i="82"/>
  <c r="I23" i="66"/>
  <c r="M22" i="66"/>
  <c r="B79" i="81"/>
  <c r="A91" i="82" l="1"/>
  <c r="C90" i="82"/>
  <c r="A120" i="82"/>
  <c r="C119" i="82"/>
  <c r="M23" i="66"/>
  <c r="I24" i="66"/>
  <c r="B80" i="81"/>
  <c r="A92" i="82" l="1"/>
  <c r="C91" i="82"/>
  <c r="A121" i="82"/>
  <c r="C120" i="82"/>
  <c r="B81" i="81"/>
  <c r="I25" i="66"/>
  <c r="M24" i="66"/>
  <c r="C121" i="82" l="1"/>
  <c r="B37" i="79"/>
  <c r="B71" i="79"/>
  <c r="B16" i="79"/>
  <c r="B44" i="79"/>
  <c r="B73" i="79"/>
  <c r="B69" i="79"/>
  <c r="B51" i="79"/>
  <c r="B65" i="79"/>
  <c r="B67" i="79"/>
  <c r="A93" i="82"/>
  <c r="C92" i="82"/>
  <c r="M25" i="66"/>
  <c r="I26" i="66"/>
  <c r="B82" i="81"/>
  <c r="A94" i="82" l="1"/>
  <c r="C93" i="82"/>
  <c r="B83" i="81"/>
  <c r="I27" i="66"/>
  <c r="M26" i="66"/>
  <c r="A95" i="82" l="1"/>
  <c r="C64" i="81" s="1"/>
  <c r="C94" i="82"/>
  <c r="C66" i="81"/>
  <c r="M27" i="66"/>
  <c r="I28" i="66"/>
  <c r="B84" i="81"/>
  <c r="C83" i="81"/>
  <c r="C95" i="82" l="1"/>
  <c r="D6" i="78"/>
  <c r="C136" i="81"/>
  <c r="C80" i="81"/>
  <c r="C67" i="81"/>
  <c r="C74" i="81"/>
  <c r="C71" i="81"/>
  <c r="P5" i="78"/>
  <c r="X4" i="78"/>
  <c r="C138" i="81"/>
  <c r="C59" i="81"/>
  <c r="C78" i="81"/>
  <c r="C82" i="81"/>
  <c r="T6" i="78"/>
  <c r="H4" i="78"/>
  <c r="H6" i="78"/>
  <c r="C75" i="81"/>
  <c r="C58" i="81"/>
  <c r="T4" i="78"/>
  <c r="C63" i="81"/>
  <c r="L4" i="78"/>
  <c r="D4" i="78"/>
  <c r="X6" i="78"/>
  <c r="C70" i="81"/>
  <c r="P6" i="78"/>
  <c r="H5" i="78"/>
  <c r="C142" i="81"/>
  <c r="C79" i="81"/>
  <c r="T5" i="78"/>
  <c r="C76" i="81"/>
  <c r="C72" i="81"/>
  <c r="C68" i="81"/>
  <c r="C69" i="81"/>
  <c r="L5" i="78"/>
  <c r="C65" i="81"/>
  <c r="P4" i="78"/>
  <c r="C77" i="81"/>
  <c r="C81" i="81"/>
  <c r="D5" i="78"/>
  <c r="C57" i="81"/>
  <c r="C73" i="81"/>
  <c r="X5" i="78"/>
  <c r="L6" i="78"/>
  <c r="C60" i="81"/>
  <c r="C62" i="81"/>
  <c r="I29" i="66"/>
  <c r="M28" i="66"/>
  <c r="B85" i="81"/>
  <c r="C84" i="81"/>
  <c r="C85" i="81" l="1"/>
  <c r="B86" i="81"/>
  <c r="M29" i="66"/>
  <c r="I30" i="66"/>
  <c r="C86" i="81" l="1"/>
  <c r="B87" i="81"/>
  <c r="I31" i="66"/>
  <c r="M30" i="66"/>
  <c r="M31" i="66" l="1"/>
  <c r="I32" i="66"/>
  <c r="C87" i="81"/>
  <c r="B88" i="81"/>
  <c r="B89" i="81" l="1"/>
  <c r="C88" i="81"/>
  <c r="I33" i="66"/>
  <c r="M32" i="66"/>
  <c r="M33" i="66" l="1"/>
  <c r="I34" i="66"/>
  <c r="C89" i="81"/>
  <c r="B90" i="81"/>
  <c r="B91" i="81" l="1"/>
  <c r="C90" i="81"/>
  <c r="I35" i="66"/>
  <c r="M34" i="66"/>
  <c r="M35" i="66" l="1"/>
  <c r="I36" i="66"/>
  <c r="B92" i="81"/>
  <c r="C91" i="81"/>
  <c r="C92" i="81" l="1"/>
  <c r="B93" i="81"/>
  <c r="I37" i="66"/>
  <c r="M36" i="66"/>
  <c r="M37" i="66" l="1"/>
  <c r="I38" i="66"/>
  <c r="C93" i="81"/>
  <c r="B94" i="81"/>
  <c r="B95" i="81" l="1"/>
  <c r="C94" i="81"/>
  <c r="I39" i="66"/>
  <c r="M38" i="66"/>
  <c r="M39" i="66" l="1"/>
  <c r="I40" i="66"/>
  <c r="B96" i="81"/>
  <c r="C95" i="81"/>
  <c r="C96" i="81" l="1"/>
  <c r="B97" i="81"/>
  <c r="I41" i="66"/>
  <c r="M40" i="66"/>
  <c r="M41" i="66" l="1"/>
  <c r="I42" i="66"/>
  <c r="B98" i="81"/>
  <c r="C97" i="81"/>
  <c r="C98" i="81" l="1"/>
  <c r="B99" i="81"/>
  <c r="I43" i="66"/>
  <c r="M42" i="66"/>
  <c r="M43" i="66" l="1"/>
  <c r="I44" i="66"/>
  <c r="B100" i="81"/>
  <c r="C99" i="81"/>
  <c r="B101" i="81" l="1"/>
  <c r="C100" i="81"/>
  <c r="I45" i="66"/>
  <c r="M44" i="66"/>
  <c r="M45" i="66" l="1"/>
  <c r="I46" i="66"/>
  <c r="C101" i="81"/>
  <c r="B102" i="81"/>
  <c r="C102" i="81" l="1"/>
  <c r="B103" i="81"/>
  <c r="I47" i="66"/>
  <c r="M46" i="66"/>
  <c r="M47" i="66" l="1"/>
  <c r="I48" i="66"/>
  <c r="B104" i="81"/>
  <c r="C103" i="81"/>
  <c r="I49" i="66" l="1"/>
  <c r="M48" i="66"/>
  <c r="C104" i="81"/>
  <c r="B105" i="81"/>
  <c r="C105" i="81" l="1"/>
  <c r="B106" i="81"/>
  <c r="M49" i="66"/>
  <c r="I50" i="66"/>
  <c r="I51" i="66" l="1"/>
  <c r="M50" i="66"/>
  <c r="C106" i="81"/>
  <c r="B107" i="81"/>
  <c r="C107" i="81" l="1"/>
  <c r="B108" i="81"/>
  <c r="M51" i="66"/>
  <c r="I52" i="66"/>
  <c r="I53" i="66" l="1"/>
  <c r="M52" i="66"/>
  <c r="C108" i="81"/>
  <c r="B109" i="81"/>
  <c r="C109" i="81" l="1"/>
  <c r="B110" i="81"/>
  <c r="M53" i="66"/>
  <c r="I54" i="66"/>
  <c r="M54" i="66" s="1"/>
  <c r="C110" i="81" l="1"/>
  <c r="B111" i="81"/>
  <c r="C111" i="81" l="1"/>
  <c r="B112" i="81"/>
  <c r="C112" i="81" l="1"/>
  <c r="B113" i="81"/>
  <c r="C113" i="81" l="1"/>
  <c r="B114" i="81"/>
  <c r="C114" i="81" l="1"/>
  <c r="B115" i="81"/>
  <c r="B116" i="81" l="1"/>
  <c r="C115" i="81"/>
  <c r="C116" i="81" l="1"/>
  <c r="B117" i="81"/>
  <c r="B118" i="81" l="1"/>
  <c r="C117" i="81"/>
  <c r="B119" i="81" l="1"/>
  <c r="C118" i="81"/>
  <c r="C119" i="81" l="1"/>
  <c r="B120" i="81"/>
  <c r="C120" i="81" l="1"/>
  <c r="B121" i="81"/>
  <c r="C121" i="81" l="1"/>
  <c r="B122" i="81"/>
  <c r="B123" i="81" l="1"/>
  <c r="C122" i="81"/>
  <c r="C123" i="81" l="1"/>
  <c r="B124" i="81"/>
  <c r="C124" i="81" l="1"/>
  <c r="B125" i="81"/>
  <c r="C125" i="81" l="1"/>
  <c r="B126" i="81"/>
  <c r="C126" i="81" l="1"/>
  <c r="B127" i="81"/>
  <c r="B128" i="81" l="1"/>
  <c r="C127" i="81"/>
  <c r="B129" i="81" l="1"/>
  <c r="C128" i="81"/>
  <c r="B130" i="81" l="1"/>
  <c r="C129" i="81"/>
  <c r="C130" i="81" l="1"/>
  <c r="B131" i="81"/>
  <c r="B132" i="81" l="1"/>
  <c r="C132" i="81" s="1"/>
  <c r="C131" i="81"/>
</calcChain>
</file>

<file path=xl/sharedStrings.xml><?xml version="1.0" encoding="utf-8"?>
<sst xmlns="http://schemas.openxmlformats.org/spreadsheetml/2006/main" count="2344" uniqueCount="1487">
  <si>
    <t>구문</t>
    <phoneticPr fontId="10" type="noConversion"/>
  </si>
  <si>
    <t>내용</t>
    <phoneticPr fontId="10" type="noConversion"/>
  </si>
  <si>
    <t xml:space="preserve">// </t>
    <phoneticPr fontId="10" type="noConversion"/>
  </si>
  <si>
    <t>클라이언트에서만 사용되는 파일입니다. 서버에서 필요한 파일로 포팅될때는 생략됩니다.</t>
    <phoneticPr fontId="10" type="noConversion"/>
  </si>
  <si>
    <t>첫번째 행</t>
    <phoneticPr fontId="10" type="noConversion"/>
  </si>
  <si>
    <t>두번째 행</t>
    <phoneticPr fontId="10" type="noConversion"/>
  </si>
  <si>
    <t>정수</t>
  </si>
  <si>
    <t>분류</t>
  </si>
  <si>
    <t>데이터 타입</t>
  </si>
  <si>
    <t>범위</t>
  </si>
  <si>
    <t>저장소크기</t>
  </si>
  <si>
    <t>Bit</t>
  </si>
  <si>
    <t>O 또는 1</t>
  </si>
  <si>
    <t>bit</t>
  </si>
  <si>
    <t>Int</t>
  </si>
  <si>
    <t>-2,147,483,648 ~ 2,147,483,647</t>
  </si>
  <si>
    <t>4 바이트</t>
  </si>
  <si>
    <t>Smallint</t>
  </si>
  <si>
    <t>-32,768 ~ 32,767</t>
  </si>
  <si>
    <t>2 바이트</t>
  </si>
  <si>
    <t>0 ~ 255</t>
  </si>
  <si>
    <t>1 바이트</t>
  </si>
  <si>
    <t>Bigint</t>
  </si>
  <si>
    <t>-2^63 ~ 2^63-1</t>
  </si>
  <si>
    <t>8 바이트</t>
  </si>
  <si>
    <t>부동소수점</t>
  </si>
  <si>
    <t>-1.79E+308 ~ 1.79E+308 </t>
  </si>
  <si>
    <t>n = 1~24</t>
  </si>
  <si>
    <t>n = 25~53</t>
  </si>
  <si>
    <t>Real</t>
  </si>
  <si>
    <t>-3.40E + 38 ~ 3.40E + 38</t>
  </si>
  <si>
    <t>문자데이터</t>
  </si>
  <si>
    <t>n = 1~8000</t>
  </si>
  <si>
    <t>n 바이트</t>
  </si>
  <si>
    <t>입력한 데이터의 길이</t>
  </si>
  <si>
    <t>Text</t>
  </si>
  <si>
    <t>최대 2,147,483,647자의 가변길이</t>
  </si>
  <si>
    <t>유니코드 </t>
  </si>
  <si>
    <t>Nchar</t>
  </si>
  <si>
    <t>n = 1~4000</t>
  </si>
  <si>
    <t>n*2 바이트</t>
  </si>
  <si>
    <t>nvarchar</t>
  </si>
  <si>
    <t>입력한 데이터의 길이*2 바이트</t>
  </si>
  <si>
    <t>Ntext</t>
  </si>
  <si>
    <t>최대 1,073,741,823자의 가변길이</t>
  </si>
  <si>
    <t>이진데이터</t>
  </si>
  <si>
    <t>binary</t>
  </si>
  <si>
    <t>n+4 바이트</t>
  </si>
  <si>
    <t>varbinary</t>
  </si>
  <si>
    <t>입력한 데이터의 길이+4 바이트</t>
  </si>
  <si>
    <t>Image</t>
  </si>
  <si>
    <t>날짜와시간</t>
  </si>
  <si>
    <t>datetime</t>
  </si>
  <si>
    <t>1753/1/1~9999/12/31</t>
  </si>
  <si>
    <t>smalldatetime</t>
  </si>
  <si>
    <t>1900/1/1~2079/6/6</t>
  </si>
  <si>
    <t>화폐</t>
  </si>
  <si>
    <t>money</t>
  </si>
  <si>
    <t>-922,337,203,685,477.5808~ +922,337,203,685,477.5807</t>
  </si>
  <si>
    <t>smallmoney</t>
  </si>
  <si>
    <t>-214,748.3648~214,748.3647</t>
  </si>
  <si>
    <t>세번째 행</t>
    <phoneticPr fontId="10" type="noConversion"/>
  </si>
  <si>
    <t>#</t>
    <phoneticPr fontId="10" type="noConversion"/>
  </si>
  <si>
    <t>테이블버전</t>
    <phoneticPr fontId="10" type="noConversion"/>
  </si>
  <si>
    <t>현재버전</t>
    <phoneticPr fontId="10" type="noConversion"/>
  </si>
  <si>
    <t>과거버전</t>
    <phoneticPr fontId="10" type="noConversion"/>
  </si>
  <si>
    <t>※ 테이블버전을 임의로 수정할 경우 서버와 클라이언트에서 치명적인 오류가 발생할 수 있습니다.</t>
    <phoneticPr fontId="10" type="noConversion"/>
  </si>
  <si>
    <t>※ 버전은 업데이트시 자동으로 증가합니다.</t>
    <phoneticPr fontId="10" type="noConversion"/>
  </si>
  <si>
    <t>※ 필드 추가 및 삭제(주석 문 제외)시 데이터베이스 관리자에게 반드시 문의하시기 바랍니다.</t>
    <phoneticPr fontId="10" type="noConversion"/>
  </si>
  <si>
    <t>※ 버전을 임의로 증가 및 감소 시킬 경우 데이터베이스 관리자에게 문의하시기 바랍니다.</t>
    <phoneticPr fontId="10" type="noConversion"/>
  </si>
  <si>
    <t>&amp;</t>
    <phoneticPr fontId="10" type="noConversion"/>
  </si>
  <si>
    <t>레코드 주석입니다. 서버와 클라이언에서 필요한 파일로 포팅될 때 생략됩니다.</t>
    <phoneticPr fontId="10" type="noConversion"/>
  </si>
  <si>
    <t>테이블 실행 단축키 : Ctrl + r</t>
    <phoneticPr fontId="10" type="noConversion"/>
  </si>
  <si>
    <r>
      <t>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</si>
  <si>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r>
      <t>max</t>
    </r>
    <r>
      <rPr>
        <sz val="10"/>
        <color theme="0" tint="-0.14999847407452621"/>
        <rFont val="Dotum"/>
        <family val="3"/>
      </rPr>
      <t>는 최대 저장소 크기가 2^31-1바이트임</t>
    </r>
  </si>
  <si>
    <r>
      <t>nvarchar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</si>
  <si>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t>Level</t>
  </si>
  <si>
    <t>Tinyint</t>
    <phoneticPr fontId="10" type="noConversion"/>
  </si>
  <si>
    <t>서버에서 사용하는 필드명을 나타냅니다. 반드시 영문으로 작성되어야 하며 중복되지 말아야 합니다. (자동으로 주석처리가 됩니다.)</t>
    <phoneticPr fontId="10" type="noConversion"/>
  </si>
  <si>
    <t>기획에서 사용하는 한글 변수명입니다. (자동으로 주석처리가 됩니다.)</t>
    <phoneticPr fontId="10" type="noConversion"/>
  </si>
  <si>
    <t>서버에서 사용하는 자료형을 나타냅니다. (자동으로 주석처리가 됩니다.)</t>
    <phoneticPr fontId="10" type="noConversion"/>
  </si>
  <si>
    <t>채집백01</t>
  </si>
  <si>
    <t>확률01</t>
  </si>
  <si>
    <t>채집백02</t>
  </si>
  <si>
    <t>확률02</t>
  </si>
  <si>
    <t>채집백03</t>
  </si>
  <si>
    <t>확률03</t>
  </si>
  <si>
    <t>채집백04</t>
  </si>
  <si>
    <t>확률04</t>
  </si>
  <si>
    <t>채집백05</t>
  </si>
  <si>
    <t>확률05</t>
  </si>
  <si>
    <t>사용하지 말 것!</t>
    <phoneticPr fontId="10" type="noConversion"/>
  </si>
  <si>
    <t>Char[n]</t>
    <phoneticPr fontId="10" type="noConversion"/>
  </si>
  <si>
    <t>넘버</t>
  </si>
  <si>
    <t>Num</t>
  </si>
  <si>
    <t>퀘스트링크</t>
  </si>
  <si>
    <t>라인넘버</t>
  </si>
  <si>
    <t>Linked_Quest</t>
  </si>
  <si>
    <t>Left_NPCEffect</t>
  </si>
  <si>
    <t>VarChar[32]</t>
  </si>
  <si>
    <t>// "연출" 필드는 Dialog_Effect 테이블을 참조합니다.</t>
  </si>
  <si>
    <t>// "퀘스트 링크" 필드는 퀘스트 코드를 참조합니다. 해당 퀘스트가 발생했을 때 다이얼로그 이벤트가 시작됩니다.</t>
  </si>
  <si>
    <t>// "왼쪽_NPC이름" 과 "오른쪽_NPC이름"은 NPC 테이블을 참조합니다.</t>
  </si>
  <si>
    <t>일반등장</t>
  </si>
  <si>
    <t>&amp;설명</t>
  </si>
  <si>
    <t>Effect_Name</t>
  </si>
  <si>
    <t>Explain</t>
  </si>
  <si>
    <t>// 일러스트 등장 연출 부분</t>
  </si>
  <si>
    <t>격한등장</t>
  </si>
  <si>
    <t>구현필요</t>
  </si>
  <si>
    <t>Grade</t>
  </si>
  <si>
    <t>Exp</t>
  </si>
  <si>
    <t>itemList02</t>
  </si>
  <si>
    <t>itemList03</t>
  </si>
  <si>
    <t>itemList04</t>
  </si>
  <si>
    <t>itemList05</t>
  </si>
  <si>
    <t>itemList06</t>
  </si>
  <si>
    <t>itemList07</t>
  </si>
  <si>
    <t>itemList08</t>
  </si>
  <si>
    <t>itemList09</t>
  </si>
  <si>
    <t>itemList10</t>
  </si>
  <si>
    <t>Rate02</t>
  </si>
  <si>
    <t>Rate03</t>
  </si>
  <si>
    <t>Rate04</t>
  </si>
  <si>
    <t>Rate05</t>
  </si>
  <si>
    <t>Rate06</t>
  </si>
  <si>
    <t>Rate07</t>
  </si>
  <si>
    <t>Rate08</t>
  </si>
  <si>
    <t>Rate09</t>
  </si>
  <si>
    <t>Rate10</t>
  </si>
  <si>
    <t>Bag02</t>
  </si>
  <si>
    <t>Bag03</t>
  </si>
  <si>
    <t>Bag04</t>
  </si>
  <si>
    <t>Bag05</t>
  </si>
  <si>
    <t>itemList11</t>
  </si>
  <si>
    <t>itemList12</t>
  </si>
  <si>
    <t>itemList13</t>
  </si>
  <si>
    <t>itemList14</t>
  </si>
  <si>
    <t>itemList15</t>
  </si>
  <si>
    <t>itemList16</t>
  </si>
  <si>
    <t>itemList17</t>
  </si>
  <si>
    <t>itemList18</t>
  </si>
  <si>
    <t>itemList19</t>
  </si>
  <si>
    <t>itemList20</t>
  </si>
  <si>
    <t>itemList21</t>
  </si>
  <si>
    <t>itemList22</t>
  </si>
  <si>
    <t>itemList23</t>
  </si>
  <si>
    <t>itemList24</t>
  </si>
  <si>
    <t>itemList25</t>
  </si>
  <si>
    <t>itemList26</t>
  </si>
  <si>
    <t>itemList27</t>
  </si>
  <si>
    <t>itemList28</t>
  </si>
  <si>
    <t>itemList29</t>
  </si>
  <si>
    <t>itemList30</t>
  </si>
  <si>
    <t>아이템리스트03</t>
  </si>
  <si>
    <t>아이템리스트04</t>
  </si>
  <si>
    <t>아이템리스트05</t>
  </si>
  <si>
    <t>아이템리스트06</t>
  </si>
  <si>
    <t>아이템리스트07</t>
  </si>
  <si>
    <t>아이템리스트08</t>
  </si>
  <si>
    <t>아이템리스트09</t>
  </si>
  <si>
    <t>아이템리스트10</t>
  </si>
  <si>
    <t>아이템리스트11</t>
  </si>
  <si>
    <t>아이템리스트12</t>
  </si>
  <si>
    <t>아이템리스트13</t>
  </si>
  <si>
    <t>아이템리스트14</t>
  </si>
  <si>
    <t>아이템리스트15</t>
  </si>
  <si>
    <t>아이템리스트16</t>
  </si>
  <si>
    <t>아이템리스트17</t>
  </si>
  <si>
    <t>아이템리스트18</t>
  </si>
  <si>
    <t>아이템리스트19</t>
  </si>
  <si>
    <t>아이템리스트20</t>
  </si>
  <si>
    <t>아이템리스트21</t>
  </si>
  <si>
    <t>아이템리스트22</t>
  </si>
  <si>
    <t>아이템리스트23</t>
  </si>
  <si>
    <t>아이템리스트24</t>
  </si>
  <si>
    <t>아이템리스트25</t>
  </si>
  <si>
    <t>아이템리스트26</t>
  </si>
  <si>
    <t>아이템리스트27</t>
  </si>
  <si>
    <t>아이템리스트28</t>
  </si>
  <si>
    <t>아이템리스트29</t>
  </si>
  <si>
    <t>아이템리스트30</t>
  </si>
  <si>
    <t>※ 변경사항을 표기하기 위한 시트입니다.</t>
    <phoneticPr fontId="10" type="noConversion"/>
  </si>
  <si>
    <t>※ 해당 시트는 서버와 클라이언트 작업에 참조사항일 뿐, 적용은 되지 않습니다.</t>
    <phoneticPr fontId="10" type="noConversion"/>
  </si>
  <si>
    <t>Date</t>
    <phoneticPr fontId="10" type="noConversion"/>
  </si>
  <si>
    <t>변경전</t>
    <phoneticPr fontId="10" type="noConversion"/>
  </si>
  <si>
    <t>변경후</t>
    <phoneticPr fontId="10" type="noConversion"/>
  </si>
  <si>
    <t>설명</t>
    <phoneticPr fontId="10" type="noConversion"/>
  </si>
  <si>
    <t>테이블</t>
    <phoneticPr fontId="10" type="noConversion"/>
  </si>
  <si>
    <t>필드</t>
    <phoneticPr fontId="10" type="noConversion"/>
  </si>
  <si>
    <t>작업내역</t>
    <phoneticPr fontId="10" type="noConversion"/>
  </si>
  <si>
    <t>클라이언트 자료형_C#</t>
    <phoneticPr fontId="10" type="noConversion"/>
  </si>
  <si>
    <t>bool</t>
    <phoneticPr fontId="10" type="noConversion"/>
  </si>
  <si>
    <t>int</t>
    <phoneticPr fontId="10" type="noConversion"/>
  </si>
  <si>
    <t>short</t>
    <phoneticPr fontId="10" type="noConversion"/>
  </si>
  <si>
    <t>byte</t>
    <phoneticPr fontId="10" type="noConversion"/>
  </si>
  <si>
    <t>long</t>
    <phoneticPr fontId="10" type="noConversion"/>
  </si>
  <si>
    <t>float</t>
    <phoneticPr fontId="10" type="noConversion"/>
  </si>
  <si>
    <t>double</t>
    <phoneticPr fontId="10" type="noConversion"/>
  </si>
  <si>
    <t>-</t>
    <phoneticPr fontId="10" type="noConversion"/>
  </si>
  <si>
    <r>
      <t>varbinary</t>
    </r>
    <r>
      <rPr>
        <sz val="10"/>
        <color rgb="FFFF0000"/>
        <rFont val="Dotum"/>
        <family val="3"/>
        <charset val="129"/>
      </rPr>
      <t> [ ( </t>
    </r>
    <r>
      <rPr>
        <i/>
        <sz val="10"/>
        <color rgb="FFFF0000"/>
        <rFont val="Dotum"/>
        <family val="3"/>
        <charset val="129"/>
      </rPr>
      <t>n</t>
    </r>
    <r>
      <rPr>
        <sz val="10"/>
        <color rgb="FFFF0000"/>
        <rFont val="Dotum"/>
        <family val="3"/>
        <charset val="129"/>
      </rPr>
      <t> | </t>
    </r>
    <r>
      <rPr>
        <b/>
        <sz val="10"/>
        <color rgb="FFFF0000"/>
        <rFont val="Dotum"/>
        <family val="3"/>
        <charset val="129"/>
      </rPr>
      <t>max</t>
    </r>
    <r>
      <rPr>
        <sz val="10"/>
        <color rgb="FFFF0000"/>
        <rFont val="Dotum"/>
        <family val="3"/>
        <charset val="129"/>
      </rPr>
      <t>) ]</t>
    </r>
  </si>
  <si>
    <r>
      <t>max</t>
    </r>
    <r>
      <rPr>
        <sz val="10"/>
        <color rgb="FFFF0000"/>
        <rFont val="Dotum"/>
        <family val="3"/>
        <charset val="129"/>
      </rPr>
      <t>는 최대 저장소 크기가 2^31-1바이트임</t>
    </r>
  </si>
  <si>
    <t>string</t>
    <phoneticPr fontId="10" type="noConversion"/>
  </si>
  <si>
    <t>Float</t>
    <phoneticPr fontId="10" type="noConversion"/>
  </si>
  <si>
    <t>Double</t>
    <phoneticPr fontId="10" type="noConversion"/>
  </si>
  <si>
    <t>변경자</t>
    <phoneticPr fontId="10" type="noConversion"/>
  </si>
  <si>
    <t xml:space="preserve">※ MSSQL 및 C# 데이터 타입 </t>
    <phoneticPr fontId="10" type="noConversion"/>
  </si>
  <si>
    <t>흰색</t>
  </si>
  <si>
    <t>초록색</t>
  </si>
  <si>
    <t>파란색</t>
  </si>
  <si>
    <t>노랑색</t>
  </si>
  <si>
    <t>주황색</t>
  </si>
  <si>
    <t>붉은색</t>
  </si>
  <si>
    <t>보라색</t>
  </si>
  <si>
    <t>Name</t>
    <phoneticPr fontId="10" type="noConversion"/>
  </si>
  <si>
    <t>ParentsSkill</t>
  </si>
  <si>
    <t>액티브스킬</t>
  </si>
  <si>
    <t>패시브스킬</t>
  </si>
  <si>
    <t>ActiveSkill</t>
  </si>
  <si>
    <t>PassiveSkill</t>
  </si>
  <si>
    <t>SkillType</t>
  </si>
  <si>
    <t>LimitLevel</t>
  </si>
  <si>
    <t>LimitJob</t>
  </si>
  <si>
    <t>Interval</t>
  </si>
  <si>
    <t>DurationTime</t>
  </si>
  <si>
    <t>BufficonName</t>
  </si>
  <si>
    <t>SkillPoint</t>
  </si>
  <si>
    <t>스킬포인트</t>
  </si>
  <si>
    <t>특성화포인트</t>
  </si>
  <si>
    <t>VarChar[n]</t>
    <phoneticPr fontId="10" type="noConversion"/>
  </si>
  <si>
    <t>몬스터인덱스02</t>
  </si>
  <si>
    <t>숫자02</t>
  </si>
  <si>
    <t>몬스터인덱스03</t>
  </si>
  <si>
    <t>숫자03</t>
  </si>
  <si>
    <t>몬스터인덱스04</t>
  </si>
  <si>
    <t>숫자04</t>
  </si>
  <si>
    <t>몬스터인덱스05</t>
  </si>
  <si>
    <t>숫자05</t>
  </si>
  <si>
    <t>NPCNum02</t>
  </si>
  <si>
    <t>Count02</t>
  </si>
  <si>
    <t>NPCNum03</t>
  </si>
  <si>
    <t>Count03</t>
  </si>
  <si>
    <t>NPCNum04</t>
  </si>
  <si>
    <t>Count04</t>
  </si>
  <si>
    <t>NPCNum05</t>
  </si>
  <si>
    <t>Count05</t>
  </si>
  <si>
    <t>HPBase</t>
  </si>
  <si>
    <t>MPBase</t>
  </si>
  <si>
    <t>MPRegen</t>
  </si>
  <si>
    <t>HP기본량</t>
  </si>
  <si>
    <t>MP기본량</t>
  </si>
  <si>
    <t>스킬발동확률03</t>
  </si>
  <si>
    <t>RateSkill03</t>
  </si>
  <si>
    <t>스킬발동확률04</t>
  </si>
  <si>
    <t>RateSkill04</t>
  </si>
  <si>
    <t>스킬발동확률05</t>
  </si>
  <si>
    <t>RateSkill05</t>
  </si>
  <si>
    <t>RateSkill01</t>
  </si>
  <si>
    <t>RateSkill02</t>
  </si>
  <si>
    <t>스킬발동확률01</t>
  </si>
  <si>
    <t>스킬발동확률02</t>
  </si>
  <si>
    <t>윌 오 더 위스프</t>
  </si>
  <si>
    <t>퇴역 기사</t>
  </si>
  <si>
    <t>그림자군단 군단병</t>
  </si>
  <si>
    <t>그림자군단 중갑병</t>
  </si>
  <si>
    <t>그림자군단 정찰병</t>
  </si>
  <si>
    <t>그림자군단 사령관</t>
  </si>
  <si>
    <t>힘</t>
    <phoneticPr fontId="10" type="noConversion"/>
  </si>
  <si>
    <t>ItemDrop_Special Import Settings2</t>
  </si>
  <si>
    <t>분류</t>
    <phoneticPr fontId="10" type="noConversion"/>
  </si>
  <si>
    <t>영향을 미치는 부분</t>
    <phoneticPr fontId="10" type="noConversion"/>
  </si>
  <si>
    <t>힘</t>
    <phoneticPr fontId="10" type="noConversion"/>
  </si>
  <si>
    <t>물리공격력</t>
    <phoneticPr fontId="10" type="noConversion"/>
  </si>
  <si>
    <t>민첩</t>
    <phoneticPr fontId="10" type="noConversion"/>
  </si>
  <si>
    <t>지능</t>
    <phoneticPr fontId="10" type="noConversion"/>
  </si>
  <si>
    <t>체력</t>
    <phoneticPr fontId="10" type="noConversion"/>
  </si>
  <si>
    <t>무기</t>
    <phoneticPr fontId="10" type="noConversion"/>
  </si>
  <si>
    <t>방어구</t>
    <phoneticPr fontId="10" type="noConversion"/>
  </si>
  <si>
    <t>옵션</t>
    <phoneticPr fontId="10" type="noConversion"/>
  </si>
  <si>
    <t>스킬</t>
    <phoneticPr fontId="10" type="noConversion"/>
  </si>
  <si>
    <t>회피율, 방어력, 치명타율</t>
    <phoneticPr fontId="10" type="noConversion"/>
  </si>
  <si>
    <t>물리 공격력</t>
    <phoneticPr fontId="10" type="noConversion"/>
  </si>
  <si>
    <t>○</t>
    <phoneticPr fontId="10" type="noConversion"/>
  </si>
  <si>
    <t>마법공격력</t>
    <phoneticPr fontId="10" type="noConversion"/>
  </si>
  <si>
    <t>MAX HP, 방어력</t>
    <phoneticPr fontId="10" type="noConversion"/>
  </si>
  <si>
    <t>방어력</t>
    <phoneticPr fontId="10" type="noConversion"/>
  </si>
  <si>
    <t>○</t>
    <phoneticPr fontId="10" type="noConversion"/>
  </si>
  <si>
    <t>회피율</t>
    <phoneticPr fontId="10" type="noConversion"/>
  </si>
  <si>
    <t>MAX HP</t>
    <phoneticPr fontId="10" type="noConversion"/>
  </si>
  <si>
    <t>MAX MP</t>
    <phoneticPr fontId="10" type="noConversion"/>
  </si>
  <si>
    <t>HP Regen</t>
    <phoneticPr fontId="10" type="noConversion"/>
  </si>
  <si>
    <t>MP Regen</t>
    <phoneticPr fontId="10" type="noConversion"/>
  </si>
  <si>
    <t>치명타율</t>
    <phoneticPr fontId="10" type="noConversion"/>
  </si>
  <si>
    <t>○</t>
    <phoneticPr fontId="10" type="noConversion"/>
  </si>
  <si>
    <t>치명 피해량</t>
    <phoneticPr fontId="10" type="noConversion"/>
  </si>
  <si>
    <t>Target</t>
    <phoneticPr fontId="10" type="noConversion"/>
  </si>
  <si>
    <t>회피율 제한</t>
    <phoneticPr fontId="10" type="noConversion"/>
  </si>
  <si>
    <t>옵션 공격력</t>
    <phoneticPr fontId="10" type="noConversion"/>
  </si>
  <si>
    <t>강화 방어력</t>
    <phoneticPr fontId="10" type="noConversion"/>
  </si>
  <si>
    <t>최종 회피율</t>
    <phoneticPr fontId="10" type="noConversion"/>
  </si>
  <si>
    <t>기본 회피율 * ( ( 민첩 / 10 ) ^2 )%</t>
    <phoneticPr fontId="10" type="noConversion"/>
  </si>
  <si>
    <t>회피율은 45%를 넘지 않는다.  45%를 넘을 경우 45%까지만 적용하고 나머지는 버린다.</t>
    <phoneticPr fontId="10" type="noConversion"/>
  </si>
  <si>
    <t>Character 테이블에 있는 MAX HP의 기본량 (HP Base 필드)</t>
    <phoneticPr fontId="10" type="noConversion"/>
  </si>
  <si>
    <t>기본 MAX MP</t>
    <phoneticPr fontId="10" type="noConversion"/>
  </si>
  <si>
    <t>HP는 기본적으로 자동적으로 Regen 되지 않는다. (포션 소모 등으로 인한 회복을 권장하기 위해서임)</t>
    <phoneticPr fontId="10" type="noConversion"/>
  </si>
  <si>
    <t>기본 MP Regen</t>
    <phoneticPr fontId="10" type="noConversion"/>
  </si>
  <si>
    <t>캐릭터에게 기본적으로 주어진 치명타율 : 5%</t>
    <phoneticPr fontId="10" type="noConversion"/>
  </si>
  <si>
    <t>최종 치명타율</t>
    <phoneticPr fontId="10" type="noConversion"/>
  </si>
  <si>
    <t>기본 치명타율 +  ( 민첩 / 10 )%</t>
    <phoneticPr fontId="10" type="noConversion"/>
  </si>
  <si>
    <t>속성공격으로 인한 피해는 최소 1 이하로 내려갈 수 없다. (무조건 1 피해는 입게 된다.)</t>
    <phoneticPr fontId="10" type="noConversion"/>
  </si>
  <si>
    <t>최종 공격력</t>
    <phoneticPr fontId="10" type="noConversion"/>
  </si>
  <si>
    <t>Item 테이블의 Def 필드 참조</t>
    <phoneticPr fontId="10" type="noConversion"/>
  </si>
  <si>
    <t>ShotEffect</t>
  </si>
  <si>
    <t>HitEffect</t>
  </si>
  <si>
    <t>DuringEffect</t>
  </si>
  <si>
    <t>FireDef</t>
  </si>
  <si>
    <t>WaterDef</t>
  </si>
  <si>
    <t>NatureDef</t>
  </si>
  <si>
    <t>LightDef</t>
  </si>
  <si>
    <t>DarkDef</t>
  </si>
  <si>
    <t>불방어력</t>
  </si>
  <si>
    <t>물방어력</t>
  </si>
  <si>
    <t>자연방어력</t>
  </si>
  <si>
    <t>빛방어력</t>
  </si>
  <si>
    <t>어둠방어력</t>
  </si>
  <si>
    <t>Kobolt_0001_KoboltWorker_M</t>
  </si>
  <si>
    <t>Spirit_0001_WillOWisp_M</t>
  </si>
  <si>
    <t>Human_0004_CivilMil_M</t>
  </si>
  <si>
    <t>Human_0003_Oldknight_M</t>
  </si>
  <si>
    <t>Human_0001_Femaleknight_M</t>
  </si>
  <si>
    <t>Undead_0001_Deathknight_M</t>
  </si>
  <si>
    <t>Undead_0002_Deathknight_M</t>
  </si>
  <si>
    <t>Undead_0003_Deathknight_M</t>
  </si>
  <si>
    <t>Undead_0004_Deathknight_M</t>
  </si>
  <si>
    <t>대상</t>
    <phoneticPr fontId="10" type="noConversion"/>
  </si>
  <si>
    <t>계산공식</t>
    <phoneticPr fontId="10" type="noConversion"/>
  </si>
  <si>
    <t>캐릭터</t>
    <phoneticPr fontId="10" type="noConversion"/>
  </si>
  <si>
    <t>스탯 공격력</t>
    <phoneticPr fontId="10" type="noConversion"/>
  </si>
  <si>
    <t>캐릭터에 따른 주요 스탯 (전사 : 힘 / 마법사 : 지능 등)</t>
    <phoneticPr fontId="10" type="noConversion"/>
  </si>
  <si>
    <t>무기 공격력</t>
    <phoneticPr fontId="10" type="noConversion"/>
  </si>
  <si>
    <t>무기에 부여된 공격력</t>
    <phoneticPr fontId="10" type="noConversion"/>
  </si>
  <si>
    <t>강화 공격력</t>
    <phoneticPr fontId="10" type="noConversion"/>
  </si>
  <si>
    <t>(무기 공격력 * 등급별 강화수치에 따른 증감값)</t>
    <phoneticPr fontId="10" type="noConversion"/>
  </si>
  <si>
    <t>속성 공격력</t>
    <phoneticPr fontId="10" type="noConversion"/>
  </si>
  <si>
    <t>각 속성별 공격력</t>
    <phoneticPr fontId="10" type="noConversion"/>
  </si>
  <si>
    <t>총 속성 공격력</t>
    <phoneticPr fontId="10" type="noConversion"/>
  </si>
  <si>
    <t>각 속성별 공격력의 총 합계</t>
    <phoneticPr fontId="10" type="noConversion"/>
  </si>
  <si>
    <t>증폭값 미적용</t>
    <phoneticPr fontId="10" type="noConversion"/>
  </si>
  <si>
    <t>총 속성공격력은 옵션 공격력으로 인한 증감값에 영향을 받지 않습니다.  해당 속성 강화 옵션에만 영향을 받게 됩니다.</t>
    <phoneticPr fontId="10" type="noConversion"/>
  </si>
  <si>
    <t>무기 공격력 * (스킬로 인한 증감값 + 옵션으로 인한 증감값)</t>
    <phoneticPr fontId="10" type="noConversion"/>
  </si>
  <si>
    <t>각 옵션 공격력은 패시브 스킬만 적용시킴, 버프로 발동되는 것은 논외로 (무기 공격력 + 강화 공격력)에만 영향을 미친다.</t>
    <phoneticPr fontId="10" type="noConversion"/>
  </si>
  <si>
    <t>통합 공격력</t>
    <phoneticPr fontId="10" type="noConversion"/>
  </si>
  <si>
    <t>(스탯 공격력 + 무기 공격력 + 강화 공격력) * 옵션 공격력</t>
    <phoneticPr fontId="10" type="noConversion"/>
  </si>
  <si>
    <t>최종 속성 공격력</t>
    <phoneticPr fontId="10" type="noConversion"/>
  </si>
  <si>
    <t>(각 속성 공격력 * 해당 속성의 강화값)으로 나온 값을 모두 더한 수치</t>
    <phoneticPr fontId="10" type="noConversion"/>
  </si>
  <si>
    <t>통합 공격력 + 최종 속성 공격력</t>
    <phoneticPr fontId="10" type="noConversion"/>
  </si>
  <si>
    <t>총 방어력</t>
    <phoneticPr fontId="10" type="noConversion"/>
  </si>
  <si>
    <t>각 파트별 방어구들의 방어력 합계</t>
    <phoneticPr fontId="10" type="noConversion"/>
  </si>
  <si>
    <t>스탯 방어력</t>
    <phoneticPr fontId="10" type="noConversion"/>
  </si>
  <si>
    <t>(총 방어력 * 민첩 / 100) + (총 방어력 * 체력 / 10)</t>
    <phoneticPr fontId="10" type="noConversion"/>
  </si>
  <si>
    <t>(각 파트별 방어구 방어력 * 등급별 강화 수치에 따른 증감값) 을 모두 더한 값</t>
    <phoneticPr fontId="10" type="noConversion"/>
  </si>
  <si>
    <t>속성 방어력</t>
    <phoneticPr fontId="10" type="noConversion"/>
  </si>
  <si>
    <t>각 속성별 방어력</t>
    <phoneticPr fontId="10" type="noConversion"/>
  </si>
  <si>
    <t>속성 방어력은 옵션 방어력으로 인한 증감값에 영향을 받지 않습니다.  해당 속성 강화 옵션에만 영향을 받게 됩니다.</t>
    <phoneticPr fontId="10" type="noConversion"/>
  </si>
  <si>
    <t>옵션 방어력</t>
    <phoneticPr fontId="10" type="noConversion"/>
  </si>
  <si>
    <t>총 방어력 * (스킬로 인한 증감값 + 옵션으로 인한 증감값)</t>
    <phoneticPr fontId="10" type="noConversion"/>
  </si>
  <si>
    <t>각 옵션 방어력은 패시브 스킬만 적용시킴</t>
    <phoneticPr fontId="10" type="noConversion"/>
  </si>
  <si>
    <t>통합 방어력</t>
    <phoneticPr fontId="10" type="noConversion"/>
  </si>
  <si>
    <t>(총 방어력 + 스탯 방어력 + 강화 방어력) * 옵션 방어력</t>
    <phoneticPr fontId="10" type="noConversion"/>
  </si>
  <si>
    <t>총 속성 방어력</t>
    <phoneticPr fontId="10" type="noConversion"/>
  </si>
  <si>
    <t>각 속성별 방어력의 합계</t>
    <phoneticPr fontId="10" type="noConversion"/>
  </si>
  <si>
    <t>최종 방어력</t>
    <phoneticPr fontId="10" type="noConversion"/>
  </si>
  <si>
    <t>통합 방어력 + 각 속성 방어력의 합계</t>
    <phoneticPr fontId="10" type="noConversion"/>
  </si>
  <si>
    <t>기본 회피율</t>
    <phoneticPr fontId="10" type="noConversion"/>
  </si>
  <si>
    <t>캐릭터에게 기본적으로 주어진 회피율 : 5% (아무것도 장비하지 않아도 기본적으로 5%는 나온다)</t>
    <phoneticPr fontId="10" type="noConversion"/>
  </si>
  <si>
    <t>기본 MAX HP</t>
    <phoneticPr fontId="10" type="noConversion"/>
  </si>
  <si>
    <t>MAX HP</t>
    <phoneticPr fontId="10" type="noConversion"/>
  </si>
  <si>
    <t>기본 MAX HP + ( 체력 * 15 ) + ( 기본 MAX HP * ( 스킬 HP 증폭 수치 + 옵션 HP 증폭 수치 ) )</t>
    <phoneticPr fontId="10" type="noConversion"/>
  </si>
  <si>
    <t>Character 테이블에 있는 MAX MP의 기본량 (MP Base 필드)</t>
    <phoneticPr fontId="10" type="noConversion"/>
  </si>
  <si>
    <t>MAX MP</t>
    <phoneticPr fontId="10" type="noConversion"/>
  </si>
  <si>
    <t>기본 MAX MP + ( 체력 * 15 ) + ( 기본 MAX MP * ( 스킬 MP 증폭 수치 + 옵션 MP 증폭 수치 ) )</t>
    <phoneticPr fontId="10" type="noConversion"/>
  </si>
  <si>
    <t>기본 HP Regen</t>
    <phoneticPr fontId="10" type="noConversion"/>
  </si>
  <si>
    <t>HP Regen</t>
    <phoneticPr fontId="10" type="noConversion"/>
  </si>
  <si>
    <t>초당 HP 리젠 옵션 ( 스킬 추가값 + 옵션 추가값 )</t>
    <phoneticPr fontId="10" type="noConversion"/>
  </si>
  <si>
    <t>Character 테이블에 있는 MP Regen의 기본량 (MPRegen 필드)</t>
    <phoneticPr fontId="10" type="noConversion"/>
  </si>
  <si>
    <t>MP Regen</t>
    <phoneticPr fontId="10" type="noConversion"/>
  </si>
  <si>
    <t>기본 MP Regen + ( 기본 MP Regen * ( 스킬 추가값 + 옵션 추가값 ) )</t>
    <phoneticPr fontId="10" type="noConversion"/>
  </si>
  <si>
    <t>기본 치명타율</t>
    <phoneticPr fontId="10" type="noConversion"/>
  </si>
  <si>
    <t>전투</t>
    <phoneticPr fontId="10" type="noConversion"/>
  </si>
  <si>
    <t>통상 공방형태</t>
    <phoneticPr fontId="10" type="noConversion"/>
  </si>
  <si>
    <t>공격자의 최종 공격력 - 공격자의 최종 공격력 * 방어자의 최종 방어력 / ( 방어자의 최종 방어력 + ( 20 * 공격자의 레벨 ) + 50 )</t>
    <phoneticPr fontId="10" type="noConversion"/>
  </si>
  <si>
    <t>통상공격으로 인한 피해는 최소 1 이하로 내려갈 수 없다. (무조건 1 피해는 입게 된다.)</t>
    <phoneticPr fontId="10" type="noConversion"/>
  </si>
  <si>
    <t>속성 공방형태</t>
    <phoneticPr fontId="10" type="noConversion"/>
  </si>
  <si>
    <t>공격자의 해당 속성 공격력 - 공격자의 해당 속성 공격력 * 방어자의 해당 속성 방어력 / ( 방어자의 해당 속성 방어력 + ( 20 * 공격자의 레벨 ) + 50 )</t>
    <phoneticPr fontId="10" type="noConversion"/>
  </si>
  <si>
    <t>몬스터</t>
    <phoneticPr fontId="10" type="noConversion"/>
  </si>
  <si>
    <t>Item 테이블의 Atk 필드 참조</t>
    <phoneticPr fontId="10" type="noConversion"/>
  </si>
  <si>
    <t>Item 테이블의 FireAtk / WaterAtk / NatureAtk / LightAtk / DarkAtk 필드 참조</t>
    <phoneticPr fontId="10" type="noConversion"/>
  </si>
  <si>
    <t>Item 테이블의 FireDef / WaterDef / NatureDef / LightDef / DarkDef 필드 참조</t>
    <phoneticPr fontId="10" type="noConversion"/>
  </si>
  <si>
    <t>코볼트 광부</t>
  </si>
  <si>
    <t>콥스 캔들</t>
  </si>
  <si>
    <t>메리 댄서</t>
  </si>
  <si>
    <t>잭 오 랜턴</t>
  </si>
  <si>
    <t>초보 강도</t>
  </si>
  <si>
    <t>복면 강도</t>
  </si>
  <si>
    <t>마적</t>
  </si>
  <si>
    <t>마적 대장</t>
  </si>
  <si>
    <t>은퇴한 병사</t>
  </si>
  <si>
    <t>퇴역 장군</t>
  </si>
  <si>
    <t>신입 여기사</t>
  </si>
  <si>
    <t>노련한 여기사</t>
  </si>
  <si>
    <t>부기사단장</t>
  </si>
  <si>
    <t>Item_Atlas01</t>
  </si>
  <si>
    <t>무속성방어</t>
  </si>
  <si>
    <t>화속성방어</t>
  </si>
  <si>
    <t>수속성방어</t>
  </si>
  <si>
    <t>자연속성방어</t>
  </si>
  <si>
    <t>명속성방어</t>
  </si>
  <si>
    <t>암속성방어</t>
  </si>
  <si>
    <t>저급 투구</t>
  </si>
  <si>
    <t>고급 군모</t>
  </si>
  <si>
    <t>질긴 대형 투구</t>
  </si>
  <si>
    <t>갈라진 도움</t>
  </si>
  <si>
    <t>냄비 뚜껑</t>
  </si>
  <si>
    <t>저급 가죽 갑옷</t>
  </si>
  <si>
    <t>가죽 갑옷</t>
  </si>
  <si>
    <t>고급 판 갑옷</t>
  </si>
  <si>
    <t>못 박힌 철판 갑옷</t>
  </si>
  <si>
    <t>당연한 특징</t>
  </si>
  <si>
    <t>황금 갑옷</t>
  </si>
  <si>
    <t>저급 바지</t>
  </si>
  <si>
    <t>가죽 바지</t>
  </si>
  <si>
    <t>고급 가죽 바지</t>
  </si>
  <si>
    <t>튼튼한 가죽 바지</t>
  </si>
  <si>
    <t>정강이싸개</t>
  </si>
  <si>
    <t>공방일체</t>
  </si>
  <si>
    <t>저급 장갑</t>
  </si>
  <si>
    <t>장갑</t>
  </si>
  <si>
    <t>고급 린넨 장갑</t>
  </si>
  <si>
    <t>질긴 가죽 장갑</t>
  </si>
  <si>
    <t>단단한 돌기</t>
  </si>
  <si>
    <t>눈싸움</t>
  </si>
  <si>
    <t>저급 신발</t>
  </si>
  <si>
    <t>장화</t>
  </si>
  <si>
    <t>고급 장화</t>
  </si>
  <si>
    <t>편안한 가죽 장화</t>
  </si>
  <si>
    <t>노을지는 하늘</t>
  </si>
  <si>
    <t>한량</t>
  </si>
  <si>
    <t>갈라진 방패</t>
  </si>
  <si>
    <t>나무 방패</t>
  </si>
  <si>
    <t>고급 버클러</t>
  </si>
  <si>
    <t>빛나는 사각 방패</t>
  </si>
  <si>
    <t>철벽방어</t>
  </si>
  <si>
    <t>거절</t>
  </si>
  <si>
    <t>질 낮은 검</t>
  </si>
  <si>
    <t>장검</t>
  </si>
  <si>
    <t>고급 장검</t>
  </si>
  <si>
    <t>빛나는 장검</t>
  </si>
  <si>
    <t>음침한 장검</t>
  </si>
  <si>
    <t>향긋한 장검</t>
  </si>
  <si>
    <t>지나간 추억</t>
  </si>
  <si>
    <t>부서진 모루</t>
  </si>
  <si>
    <t>버려진 음모</t>
  </si>
  <si>
    <t>날아간 기쁨</t>
  </si>
  <si>
    <t>깨끗한 슬픔</t>
  </si>
  <si>
    <t>우레폭풍</t>
  </si>
  <si>
    <t>서리심장</t>
  </si>
  <si>
    <t>Lower Helm</t>
  </si>
  <si>
    <t>Helm</t>
  </si>
  <si>
    <t>Higher Helm</t>
  </si>
  <si>
    <t>Tough Great Helm</t>
  </si>
  <si>
    <t>Split Help</t>
  </si>
  <si>
    <t>Pot Lid</t>
  </si>
  <si>
    <t>Lower Leather Armor</t>
  </si>
  <si>
    <t>Leather Armor</t>
  </si>
  <si>
    <t>Higher Plate Armor</t>
  </si>
  <si>
    <t>Spike Plate Armor</t>
  </si>
  <si>
    <t>Fair Feature</t>
  </si>
  <si>
    <t>Gold Armor</t>
  </si>
  <si>
    <t>Lower Pants</t>
  </si>
  <si>
    <t>Leather Pants</t>
  </si>
  <si>
    <t>Higher Leather Pants</t>
  </si>
  <si>
    <t>Strong Leather Pants</t>
  </si>
  <si>
    <t>Schynbald</t>
  </si>
  <si>
    <t>Battle All in One</t>
  </si>
  <si>
    <t>Lower Glove</t>
  </si>
  <si>
    <t>Glove</t>
  </si>
  <si>
    <t>Higher Linen Glove</t>
  </si>
  <si>
    <t>Strong Leather Glove</t>
  </si>
  <si>
    <t>Solid Bump</t>
  </si>
  <si>
    <t>Snowball Fight</t>
  </si>
  <si>
    <t>Lower Boots</t>
  </si>
  <si>
    <t>Boots</t>
  </si>
  <si>
    <t>Higher Boots</t>
  </si>
  <si>
    <t>Relaxed Leather Boots</t>
  </si>
  <si>
    <t>Sunset Sky</t>
  </si>
  <si>
    <t>Playboy</t>
  </si>
  <si>
    <t>Wooden Shield</t>
  </si>
  <si>
    <t>Higher Buckler</t>
  </si>
  <si>
    <t>Shine Square Shield</t>
  </si>
  <si>
    <t>Impregnable Defence</t>
  </si>
  <si>
    <t>Denial</t>
  </si>
  <si>
    <t>Lower Sword</t>
  </si>
  <si>
    <t>Sword</t>
  </si>
  <si>
    <t>Higher Sword</t>
  </si>
  <si>
    <t>Shine Sword</t>
  </si>
  <si>
    <t>Gloomy Sword</t>
  </si>
  <si>
    <t>Sweet Sword</t>
  </si>
  <si>
    <t>Passed Memory</t>
  </si>
  <si>
    <t>Broken Anvil</t>
  </si>
  <si>
    <t>Abandoned Conspiracy</t>
  </si>
  <si>
    <t>Vanish Delight</t>
  </si>
  <si>
    <t>Flash Sorrow</t>
  </si>
  <si>
    <t>Thunder Storm</t>
  </si>
  <si>
    <t>Frost Heart</t>
  </si>
  <si>
    <t>MP회복(만분율)</t>
  </si>
  <si>
    <t>MP회복(정수)</t>
  </si>
  <si>
    <t>MAX MP 증가(만분율)</t>
  </si>
  <si>
    <t>MAX MP 증가(정수)</t>
  </si>
  <si>
    <t>방어(만분율)</t>
  </si>
  <si>
    <t>불공격(정수)</t>
  </si>
  <si>
    <t>불방어(정수)</t>
  </si>
  <si>
    <t>물공격(정수)</t>
  </si>
  <si>
    <t>물방어(정수)</t>
  </si>
  <si>
    <t>자연공격(정수)</t>
  </si>
  <si>
    <t>자연방어(정수)</t>
  </si>
  <si>
    <t>빛공격(정수)</t>
  </si>
  <si>
    <t>빛방어(정수)</t>
  </si>
  <si>
    <t>어둠공격(정수)</t>
  </si>
  <si>
    <t>어둠방어(정수)</t>
  </si>
  <si>
    <t>SkillAtlas</t>
  </si>
  <si>
    <t>BuffAtlas</t>
  </si>
  <si>
    <t>HP_Restore</t>
  </si>
  <si>
    <t>MAXMP_AmplifyRate</t>
  </si>
  <si>
    <t>MAXMP_Amplify</t>
  </si>
  <si>
    <t>무속성공격</t>
  </si>
  <si>
    <t>화속성공격</t>
  </si>
  <si>
    <t>수속성공격</t>
  </si>
  <si>
    <t>자연속성공격</t>
  </si>
  <si>
    <t>명속성공격</t>
  </si>
  <si>
    <t>암속성공격</t>
  </si>
  <si>
    <t>Num</t>
    <phoneticPr fontId="10" type="noConversion"/>
  </si>
  <si>
    <t>Int</t>
    <phoneticPr fontId="10" type="noConversion"/>
  </si>
  <si>
    <t>NoneDef</t>
  </si>
  <si>
    <t>인덱스</t>
    <phoneticPr fontId="10" type="noConversion"/>
  </si>
  <si>
    <t>Value</t>
    <phoneticPr fontId="10" type="noConversion"/>
  </si>
  <si>
    <t>// 고급 방어구 강화</t>
    <phoneticPr fontId="10" type="noConversion"/>
  </si>
  <si>
    <t>// 전설 방어구 강화</t>
    <phoneticPr fontId="10" type="noConversion"/>
  </si>
  <si>
    <t>// 저급 무기 강화</t>
  </si>
  <si>
    <t>// 일반 무기 강화</t>
  </si>
  <si>
    <t>// 고급 무기 강화</t>
  </si>
  <si>
    <t>// 마법 무기 강화</t>
  </si>
  <si>
    <t>// 희귀 무기 강화</t>
  </si>
  <si>
    <t>// 전설 무기 강화</t>
  </si>
  <si>
    <t>// 셋트 무기 강화</t>
  </si>
  <si>
    <t>// 저급 카드 강화</t>
  </si>
  <si>
    <t>// 일반 카드 강화</t>
  </si>
  <si>
    <t>// 고급 카드 강화</t>
  </si>
  <si>
    <t>// 마법 카드 강화</t>
  </si>
  <si>
    <t>// 희귀 카드 강화</t>
  </si>
  <si>
    <t>// 전설 카드 강화</t>
  </si>
  <si>
    <t>// 셋트 카드 강화</t>
  </si>
  <si>
    <t>카드옵션01</t>
    <phoneticPr fontId="10" type="noConversion"/>
  </si>
  <si>
    <t>붙을확률01</t>
    <phoneticPr fontId="10" type="noConversion"/>
  </si>
  <si>
    <t>카드옵션02</t>
    <phoneticPr fontId="10" type="noConversion"/>
  </si>
  <si>
    <t>붙을확률02</t>
    <phoneticPr fontId="10" type="noConversion"/>
  </si>
  <si>
    <t>카드옵션03</t>
  </si>
  <si>
    <t>붙을확률03</t>
  </si>
  <si>
    <t>카드옵션04</t>
  </si>
  <si>
    <t>붙을확률04</t>
  </si>
  <si>
    <t>카드옵션05</t>
  </si>
  <si>
    <t>붙을확률05</t>
  </si>
  <si>
    <t>카드옵션06</t>
  </si>
  <si>
    <t>붙을확률06</t>
  </si>
  <si>
    <t>카드옵션07</t>
  </si>
  <si>
    <t>붙을확률07</t>
  </si>
  <si>
    <t>카드옵션08</t>
  </si>
  <si>
    <t>붙을확률08</t>
  </si>
  <si>
    <t>카드옵션09</t>
  </si>
  <si>
    <t>붙을확률09</t>
  </si>
  <si>
    <t>카드옵션10</t>
  </si>
  <si>
    <t>붙을확률10</t>
    <phoneticPr fontId="10" type="noConversion"/>
  </si>
  <si>
    <t>CardOption01</t>
    <phoneticPr fontId="10" type="noConversion"/>
  </si>
  <si>
    <t>OptionRate01</t>
    <phoneticPr fontId="10" type="noConversion"/>
  </si>
  <si>
    <t>CardOption02</t>
  </si>
  <si>
    <t>OptionRate02</t>
  </si>
  <si>
    <t>CardOption03</t>
  </si>
  <si>
    <t>OptionRate03</t>
  </si>
  <si>
    <t>CardOption04</t>
  </si>
  <si>
    <t>OptionRate04</t>
  </si>
  <si>
    <t>CardOption05</t>
  </si>
  <si>
    <t>OptionRate05</t>
  </si>
  <si>
    <t>CardOption06</t>
  </si>
  <si>
    <t>OptionRate06</t>
  </si>
  <si>
    <t>CardOption07</t>
  </si>
  <si>
    <t>OptionRate07</t>
  </si>
  <si>
    <t>CardOption08</t>
  </si>
  <si>
    <t>OptionRate08</t>
  </si>
  <si>
    <t>CardOption09</t>
  </si>
  <si>
    <t>OptionRate09</t>
  </si>
  <si>
    <t>CardOption10</t>
  </si>
  <si>
    <t>OptionRate10</t>
  </si>
  <si>
    <t>// 카드 강화를 성공하면 붙일 옵션에 대해서 나열한 부분입니다.  최대 10개 중 1개가 랜덤으로 붙으며 무조건 1개의 옵션은 붙습니다.  여기에 사용되는 옵션값은 Skill Table에서 가져오며 확률은 만분율로 적용됩니다.</t>
    <phoneticPr fontId="10" type="noConversion"/>
  </si>
  <si>
    <t>// 스킬 테이블에서 해당 스킬을 가져다 사용합니다.  유저가 직접 발동하는 스킬은 붙을 수 없습니다.  장착시 발동하는 스킬만 가능합니다.</t>
    <phoneticPr fontId="10" type="noConversion"/>
  </si>
  <si>
    <t>Type</t>
    <phoneticPr fontId="10" type="noConversion"/>
  </si>
  <si>
    <t>MapNum</t>
    <phoneticPr fontId="10" type="noConversion"/>
  </si>
  <si>
    <t>맵인덱스</t>
    <phoneticPr fontId="10" type="noConversion"/>
  </si>
  <si>
    <t>// 채집백은 1,000,001 ~ 1,500,000번까지를 사용합니다.  이 부분은 Gathering 테이블과 관련이 있습니다.</t>
    <phoneticPr fontId="10" type="noConversion"/>
  </si>
  <si>
    <t>채집백 1번</t>
    <phoneticPr fontId="10" type="noConversion"/>
  </si>
  <si>
    <t>// 재료백은 1,500,001 ~ 2,000,000번까지를 사용합니다.  이 부분은 Gathering 테이블과 관련이 있습니다.</t>
    <phoneticPr fontId="10" type="noConversion"/>
  </si>
  <si>
    <t>재료백 1번</t>
    <phoneticPr fontId="10" type="noConversion"/>
  </si>
  <si>
    <t>셋트인덱스</t>
    <phoneticPr fontId="10" type="noConversion"/>
  </si>
  <si>
    <t>// 장비 : 하의 인덱스 30,001 ~ 40,000</t>
    <phoneticPr fontId="10" type="noConversion"/>
  </si>
  <si>
    <t>Crack Shield</t>
  </si>
  <si>
    <t>4셋트스킬</t>
  </si>
  <si>
    <t>5셋트스킬</t>
  </si>
  <si>
    <t>6셋트스킬</t>
  </si>
  <si>
    <t>7셋트스킬</t>
  </si>
  <si>
    <t>Set4Skill</t>
  </si>
  <si>
    <t>Set5Skill</t>
  </si>
  <si>
    <t>Set6Skill</t>
  </si>
  <si>
    <t>Set7Skill</t>
  </si>
  <si>
    <t>인덱스</t>
    <phoneticPr fontId="39" type="noConversion"/>
  </si>
  <si>
    <t>&amp;스킬 이름</t>
    <phoneticPr fontId="10" type="noConversion"/>
  </si>
  <si>
    <t>선행스킬</t>
    <phoneticPr fontId="39" type="noConversion"/>
  </si>
  <si>
    <t>스킬타입</t>
    <phoneticPr fontId="39" type="noConversion"/>
  </si>
  <si>
    <t>레벨제한</t>
    <phoneticPr fontId="39" type="noConversion"/>
  </si>
  <si>
    <t>직업제한</t>
    <phoneticPr fontId="39" type="noConversion"/>
  </si>
  <si>
    <t>분류아이콘</t>
    <phoneticPr fontId="39" type="noConversion"/>
  </si>
  <si>
    <t>방어력증폭(만분율)</t>
  </si>
  <si>
    <t>방어력증폭(정수)</t>
  </si>
  <si>
    <t>Def_AmplifyRate</t>
  </si>
  <si>
    <t>Def_Amplifyinteger</t>
  </si>
  <si>
    <t>Fx_swordHit01</t>
  </si>
  <si>
    <t>Fx_lighting01</t>
  </si>
  <si>
    <t>Fx_energyVault01</t>
  </si>
  <si>
    <t>Fx_energyVaultHit01</t>
  </si>
  <si>
    <t>Fx_fireBall01</t>
  </si>
  <si>
    <t>Fx_fireHit01</t>
  </si>
  <si>
    <t>fx_cardBurn01</t>
  </si>
  <si>
    <t>Fx_heal01</t>
  </si>
  <si>
    <t>FX_Mat_Skill_Stone01</t>
  </si>
  <si>
    <t>fx_sht_Skill_meteo01</t>
  </si>
  <si>
    <t>Fx_bluntHit01</t>
  </si>
  <si>
    <t>업적조건</t>
    <phoneticPr fontId="10" type="noConversion"/>
  </si>
  <si>
    <t>업적목표</t>
    <phoneticPr fontId="10" type="noConversion"/>
  </si>
  <si>
    <t>업적보상</t>
    <phoneticPr fontId="10" type="noConversion"/>
  </si>
  <si>
    <t>Result</t>
    <phoneticPr fontId="10" type="noConversion"/>
  </si>
  <si>
    <t>맵난이도</t>
    <phoneticPr fontId="10" type="noConversion"/>
  </si>
  <si>
    <t>&amp;업적제목</t>
    <phoneticPr fontId="10" type="noConversion"/>
  </si>
  <si>
    <t>업적달성값</t>
    <phoneticPr fontId="10" type="noConversion"/>
  </si>
  <si>
    <t>MapDiff</t>
    <phoneticPr fontId="10" type="noConversion"/>
  </si>
  <si>
    <t>[FFFFFF]</t>
    <phoneticPr fontId="10" type="noConversion"/>
  </si>
  <si>
    <t>ItemDrop Import Setting</t>
    <phoneticPr fontId="10" type="noConversion"/>
  </si>
  <si>
    <t>[FFE400]</t>
    <phoneticPr fontId="10" type="noConversion"/>
  </si>
  <si>
    <t>희귀</t>
    <phoneticPr fontId="10" type="noConversion"/>
  </si>
  <si>
    <t>※ 테이블 추가 및 삭제시에는 아래 표를 업데이트 해야 합니다.</t>
    <phoneticPr fontId="10" type="noConversion"/>
  </si>
  <si>
    <t>※ 아래의 표의 위치를 이동시킬 경우 오류가 발생할 수 있습니다.</t>
    <phoneticPr fontId="10" type="noConversion"/>
  </si>
  <si>
    <t>※ 테이블을 편집하기 전에 관리자에게 문의하시기 바랍니다.</t>
    <phoneticPr fontId="10" type="noConversion"/>
  </si>
  <si>
    <t>필요경험치</t>
    <phoneticPr fontId="10" type="noConversion"/>
  </si>
  <si>
    <t>힘</t>
    <phoneticPr fontId="10" type="noConversion"/>
  </si>
  <si>
    <t>민첩</t>
    <phoneticPr fontId="10" type="noConversion"/>
  </si>
  <si>
    <t>지능</t>
    <phoneticPr fontId="10" type="noConversion"/>
  </si>
  <si>
    <t>HP기본량</t>
    <phoneticPr fontId="10" type="noConversion"/>
  </si>
  <si>
    <t>MP기본량</t>
    <phoneticPr fontId="10" type="noConversion"/>
  </si>
  <si>
    <t>초당MP리젠량</t>
    <phoneticPr fontId="10" type="noConversion"/>
  </si>
  <si>
    <t>&amp;속공 합계</t>
    <phoneticPr fontId="10" type="noConversion"/>
  </si>
  <si>
    <t>무속성방어</t>
    <phoneticPr fontId="10" type="noConversion"/>
  </si>
  <si>
    <t>&amp;속방 합계</t>
    <phoneticPr fontId="10" type="noConversion"/>
  </si>
  <si>
    <t>Num</t>
    <phoneticPr fontId="10" type="noConversion"/>
  </si>
  <si>
    <t>NeedCLevelExp</t>
    <phoneticPr fontId="10" type="noConversion"/>
  </si>
  <si>
    <t>Int</t>
    <phoneticPr fontId="10" type="noConversion"/>
  </si>
  <si>
    <t>HPBase</t>
    <phoneticPr fontId="10" type="noConversion"/>
  </si>
  <si>
    <t>MPBase</t>
    <phoneticPr fontId="10" type="noConversion"/>
  </si>
  <si>
    <t>MPRegen</t>
    <phoneticPr fontId="10" type="noConversion"/>
  </si>
  <si>
    <t>NoneAtk</t>
    <phoneticPr fontId="10" type="noConversion"/>
  </si>
  <si>
    <t>FireAtk</t>
    <phoneticPr fontId="10" type="noConversion"/>
  </si>
  <si>
    <t>WaterAtk</t>
    <phoneticPr fontId="10" type="noConversion"/>
  </si>
  <si>
    <t>NatureAtk</t>
    <phoneticPr fontId="10" type="noConversion"/>
  </si>
  <si>
    <t>LightAtk</t>
    <phoneticPr fontId="10" type="noConversion"/>
  </si>
  <si>
    <t>DarkAtk</t>
    <phoneticPr fontId="10" type="noConversion"/>
  </si>
  <si>
    <t>// 해당 경험치는 몬스터를 사냥했을 때 나오는 MasterExp를 통해 얻어진다.</t>
    <phoneticPr fontId="10" type="noConversion"/>
  </si>
  <si>
    <t>인덱스</t>
    <phoneticPr fontId="10" type="noConversion"/>
  </si>
  <si>
    <t>레벨</t>
    <phoneticPr fontId="10" type="noConversion"/>
  </si>
  <si>
    <t>직업</t>
    <phoneticPr fontId="10" type="noConversion"/>
  </si>
  <si>
    <t>필요경험치</t>
    <phoneticPr fontId="10" type="noConversion"/>
  </si>
  <si>
    <t>활동력</t>
    <phoneticPr fontId="10" type="noConversion"/>
  </si>
  <si>
    <t>충전시간</t>
    <phoneticPr fontId="10" type="noConversion"/>
  </si>
  <si>
    <t>&amp;충전시간(초)</t>
    <phoneticPr fontId="10" type="noConversion"/>
  </si>
  <si>
    <t>힘</t>
    <phoneticPr fontId="10" type="noConversion"/>
  </si>
  <si>
    <t>민첩</t>
    <phoneticPr fontId="10" type="noConversion"/>
  </si>
  <si>
    <t>체력</t>
    <phoneticPr fontId="10" type="noConversion"/>
  </si>
  <si>
    <t>지능</t>
    <phoneticPr fontId="10" type="noConversion"/>
  </si>
  <si>
    <t>&amp; 총합</t>
    <phoneticPr fontId="10" type="noConversion"/>
  </si>
  <si>
    <t>5초당MP리젠량</t>
    <phoneticPr fontId="10" type="noConversion"/>
  </si>
  <si>
    <t>무속성강화</t>
    <phoneticPr fontId="10" type="noConversion"/>
  </si>
  <si>
    <t>화속성강화</t>
    <phoneticPr fontId="10" type="noConversion"/>
  </si>
  <si>
    <t>수속성강화</t>
    <phoneticPr fontId="10" type="noConversion"/>
  </si>
  <si>
    <t>자연속성강화</t>
    <phoneticPr fontId="10" type="noConversion"/>
  </si>
  <si>
    <t>명속성강화</t>
    <phoneticPr fontId="10" type="noConversion"/>
  </si>
  <si>
    <t>암속성강화</t>
    <phoneticPr fontId="10" type="noConversion"/>
  </si>
  <si>
    <t>&amp;속강 합계</t>
    <phoneticPr fontId="10" type="noConversion"/>
  </si>
  <si>
    <t>&amp;방어 합계</t>
    <phoneticPr fontId="10" type="noConversion"/>
  </si>
  <si>
    <t>기본스킬</t>
    <phoneticPr fontId="10" type="noConversion"/>
  </si>
  <si>
    <t>Num</t>
    <phoneticPr fontId="10" type="noConversion"/>
  </si>
  <si>
    <t>Level</t>
    <phoneticPr fontId="10" type="noConversion"/>
  </si>
  <si>
    <t>Class</t>
    <phoneticPr fontId="10" type="noConversion"/>
  </si>
  <si>
    <t>NeedExp</t>
    <phoneticPr fontId="10" type="noConversion"/>
  </si>
  <si>
    <t>Action</t>
    <phoneticPr fontId="10" type="noConversion"/>
  </si>
  <si>
    <t>Restore_Time</t>
    <phoneticPr fontId="10" type="noConversion"/>
  </si>
  <si>
    <t>Total</t>
    <phoneticPr fontId="10" type="noConversion"/>
  </si>
  <si>
    <t>UniquePoint</t>
    <phoneticPr fontId="10" type="noConversion"/>
  </si>
  <si>
    <t>BaseAttack</t>
    <phoneticPr fontId="10" type="noConversion"/>
  </si>
  <si>
    <t>강화수치</t>
    <phoneticPr fontId="10" type="noConversion"/>
  </si>
  <si>
    <t>등급</t>
    <phoneticPr fontId="10" type="noConversion"/>
  </si>
  <si>
    <t>확률 (만분율)</t>
    <phoneticPr fontId="10" type="noConversion"/>
  </si>
  <si>
    <t>&amp; 퍼센트 (%)</t>
    <phoneticPr fontId="10" type="noConversion"/>
  </si>
  <si>
    <t>공격력증가수치 (만분율)</t>
    <phoneticPr fontId="10" type="noConversion"/>
  </si>
  <si>
    <t>방어력증가수치 (만분율)</t>
    <phoneticPr fontId="10" type="noConversion"/>
  </si>
  <si>
    <t>추가카드옵션</t>
    <phoneticPr fontId="10" type="noConversion"/>
  </si>
  <si>
    <t>인게임비용</t>
    <phoneticPr fontId="10" type="noConversion"/>
  </si>
  <si>
    <t>캐시비용</t>
    <phoneticPr fontId="10" type="noConversion"/>
  </si>
  <si>
    <t>Value</t>
    <phoneticPr fontId="10" type="noConversion"/>
  </si>
  <si>
    <t>Grade</t>
    <phoneticPr fontId="10" type="noConversion"/>
  </si>
  <si>
    <t>Rate</t>
    <phoneticPr fontId="10" type="noConversion"/>
  </si>
  <si>
    <t>AtkPercentage</t>
    <phoneticPr fontId="10" type="noConversion"/>
  </si>
  <si>
    <t>DefPercentage</t>
    <phoneticPr fontId="10" type="noConversion"/>
  </si>
  <si>
    <t>AddCardOption</t>
    <phoneticPr fontId="10" type="noConversion"/>
  </si>
  <si>
    <t>GamePrice</t>
    <phoneticPr fontId="10" type="noConversion"/>
  </si>
  <si>
    <t>CashPrice</t>
    <phoneticPr fontId="10" type="noConversion"/>
  </si>
  <si>
    <t>// 저급 방어구 강화</t>
    <phoneticPr fontId="10" type="noConversion"/>
  </si>
  <si>
    <t>// 일반 방어구 강화</t>
    <phoneticPr fontId="10" type="noConversion"/>
  </si>
  <si>
    <t>// 마법 방어구 강화</t>
    <phoneticPr fontId="10" type="noConversion"/>
  </si>
  <si>
    <t>// 희귀 방어구 강화</t>
    <phoneticPr fontId="10" type="noConversion"/>
  </si>
  <si>
    <t>// 셋트 방어구 강화</t>
    <phoneticPr fontId="10" type="noConversion"/>
  </si>
  <si>
    <t>인덱스</t>
    <phoneticPr fontId="10" type="noConversion"/>
  </si>
  <si>
    <t>베이스등급</t>
    <phoneticPr fontId="10" type="noConversion"/>
  </si>
  <si>
    <t>재료등급</t>
    <phoneticPr fontId="10" type="noConversion"/>
  </si>
  <si>
    <t>등급당확률</t>
    <phoneticPr fontId="10" type="noConversion"/>
  </si>
  <si>
    <t>&amp; 퍼센트 (%)</t>
    <phoneticPr fontId="10" type="noConversion"/>
  </si>
  <si>
    <t>Num</t>
    <phoneticPr fontId="10" type="noConversion"/>
  </si>
  <si>
    <t>BaseGrade</t>
    <phoneticPr fontId="10" type="noConversion"/>
  </si>
  <si>
    <t>MaterialGrade</t>
    <phoneticPr fontId="10" type="noConversion"/>
  </si>
  <si>
    <t>GradeRate</t>
    <phoneticPr fontId="10" type="noConversion"/>
  </si>
  <si>
    <t>Int</t>
    <phoneticPr fontId="10" type="noConversion"/>
  </si>
  <si>
    <t>인덱스</t>
    <phoneticPr fontId="10" type="noConversion"/>
  </si>
  <si>
    <t>퀘스트 이름</t>
    <phoneticPr fontId="10" type="noConversion"/>
  </si>
  <si>
    <t>&amp;이름</t>
    <phoneticPr fontId="10" type="noConversion"/>
  </si>
  <si>
    <t>퀘스트 형태</t>
    <phoneticPr fontId="10" type="noConversion"/>
  </si>
  <si>
    <t>퀘스트 분류</t>
    <phoneticPr fontId="10" type="noConversion"/>
  </si>
  <si>
    <t>수행맵인덱스</t>
    <phoneticPr fontId="10" type="noConversion"/>
  </si>
  <si>
    <t>수행난이도</t>
    <phoneticPr fontId="10" type="noConversion"/>
  </si>
  <si>
    <t>이전퀘스트</t>
    <phoneticPr fontId="10" type="noConversion"/>
  </si>
  <si>
    <t>다음퀘스트</t>
    <phoneticPr fontId="10" type="noConversion"/>
  </si>
  <si>
    <t>조건_01</t>
    <phoneticPr fontId="10" type="noConversion"/>
  </si>
  <si>
    <t>#조건요약문01</t>
    <phoneticPr fontId="10" type="noConversion"/>
  </si>
  <si>
    <t>값_01</t>
    <phoneticPr fontId="10" type="noConversion"/>
  </si>
  <si>
    <t>조건_02</t>
    <phoneticPr fontId="10" type="noConversion"/>
  </si>
  <si>
    <t>#조건요약문02</t>
    <phoneticPr fontId="10" type="noConversion"/>
  </si>
  <si>
    <t>값_02</t>
    <phoneticPr fontId="10" type="noConversion"/>
  </si>
  <si>
    <t>조건_03</t>
    <phoneticPr fontId="10" type="noConversion"/>
  </si>
  <si>
    <t>#조건요약문03</t>
    <phoneticPr fontId="10" type="noConversion"/>
  </si>
  <si>
    <t>값_03</t>
    <phoneticPr fontId="10" type="noConversion"/>
  </si>
  <si>
    <t>퀘스트결과_경험치</t>
    <phoneticPr fontId="10" type="noConversion"/>
  </si>
  <si>
    <t>퀘스트결과_돈</t>
    <phoneticPr fontId="10" type="noConversion"/>
  </si>
  <si>
    <t>퀘스트결과_아이템01</t>
    <phoneticPr fontId="10" type="noConversion"/>
  </si>
  <si>
    <t>퀘스트결과_아이템02</t>
    <phoneticPr fontId="10" type="noConversion"/>
  </si>
  <si>
    <t>퀘스트결과_아이템03</t>
    <phoneticPr fontId="10" type="noConversion"/>
  </si>
  <si>
    <t>Num</t>
    <phoneticPr fontId="10" type="noConversion"/>
  </si>
  <si>
    <t>Name</t>
    <phoneticPr fontId="10" type="noConversion"/>
  </si>
  <si>
    <t>Type</t>
    <phoneticPr fontId="10" type="noConversion"/>
  </si>
  <si>
    <t>Grade</t>
    <phoneticPr fontId="10" type="noConversion"/>
  </si>
  <si>
    <t>MapNum</t>
    <phoneticPr fontId="10" type="noConversion"/>
  </si>
  <si>
    <t>Difficulty</t>
    <phoneticPr fontId="10" type="noConversion"/>
  </si>
  <si>
    <t>PreviousQuest</t>
    <phoneticPr fontId="10" type="noConversion"/>
  </si>
  <si>
    <t>NextQuest</t>
    <phoneticPr fontId="10" type="noConversion"/>
  </si>
  <si>
    <t>Terms_item_01</t>
    <phoneticPr fontId="10" type="noConversion"/>
  </si>
  <si>
    <t>TermsDesc01</t>
    <phoneticPr fontId="10" type="noConversion"/>
  </si>
  <si>
    <t>Value_01</t>
    <phoneticPr fontId="10" type="noConversion"/>
  </si>
  <si>
    <t>Terms_item_02</t>
    <phoneticPr fontId="10" type="noConversion"/>
  </si>
  <si>
    <t>TermsDesc02</t>
    <phoneticPr fontId="10" type="noConversion"/>
  </si>
  <si>
    <t>Value_02</t>
    <phoneticPr fontId="10" type="noConversion"/>
  </si>
  <si>
    <t>Terms_item_03</t>
    <phoneticPr fontId="10" type="noConversion"/>
  </si>
  <si>
    <t>TermsDesc03</t>
    <phoneticPr fontId="10" type="noConversion"/>
  </si>
  <si>
    <t>Value_03</t>
    <phoneticPr fontId="10" type="noConversion"/>
  </si>
  <si>
    <t>QuestResult_Exp</t>
    <phoneticPr fontId="10" type="noConversion"/>
  </si>
  <si>
    <t>QuestResult_Gold</t>
    <phoneticPr fontId="10" type="noConversion"/>
  </si>
  <si>
    <t>QuestResult_01</t>
    <phoneticPr fontId="10" type="noConversion"/>
  </si>
  <si>
    <t>QuestResult_02</t>
    <phoneticPr fontId="10" type="noConversion"/>
  </si>
  <si>
    <t>QuestResult_03</t>
    <phoneticPr fontId="10" type="noConversion"/>
  </si>
  <si>
    <t>// TermsDesc로 표기되는 조건요약문은 Strings 테이블에서 가져오며 해당 내용은 퀘스트 알리미에 사용되는 퀘스트 목적을 나타낸다.</t>
    <phoneticPr fontId="10" type="noConversion"/>
  </si>
  <si>
    <t>인덱스</t>
    <phoneticPr fontId="10" type="noConversion"/>
  </si>
  <si>
    <t>챕터인덱스</t>
    <phoneticPr fontId="10" type="noConversion"/>
  </si>
  <si>
    <t>맵인덱스</t>
    <phoneticPr fontId="10" type="noConversion"/>
  </si>
  <si>
    <t>난이도</t>
    <phoneticPr fontId="10" type="noConversion"/>
  </si>
  <si>
    <t>속성</t>
    <phoneticPr fontId="10" type="noConversion"/>
  </si>
  <si>
    <t>진입피로도</t>
    <phoneticPr fontId="10" type="noConversion"/>
  </si>
  <si>
    <t>무기상점인덱스</t>
    <phoneticPr fontId="10" type="noConversion"/>
  </si>
  <si>
    <t>방어구상점인덱스</t>
    <phoneticPr fontId="10" type="noConversion"/>
  </si>
  <si>
    <t>잡화상점인덱스</t>
    <phoneticPr fontId="10" type="noConversion"/>
  </si>
  <si>
    <t>몹뿌리기가방01</t>
    <phoneticPr fontId="10" type="noConversion"/>
  </si>
  <si>
    <t>몹뿌리기가방02</t>
    <phoneticPr fontId="10" type="noConversion"/>
  </si>
  <si>
    <t>몹뿌리기가방03</t>
    <phoneticPr fontId="10" type="noConversion"/>
  </si>
  <si>
    <t>ChapterNum</t>
    <phoneticPr fontId="10" type="noConversion"/>
  </si>
  <si>
    <t>Attribute</t>
    <phoneticPr fontId="10" type="noConversion"/>
  </si>
  <si>
    <t>NeedAction</t>
    <phoneticPr fontId="10" type="noConversion"/>
  </si>
  <si>
    <t>WeaponShopNum</t>
    <phoneticPr fontId="10" type="noConversion"/>
  </si>
  <si>
    <t>ArmorShopNum</t>
    <phoneticPr fontId="10" type="noConversion"/>
  </si>
  <si>
    <t>PotionShopNum</t>
    <phoneticPr fontId="10" type="noConversion"/>
  </si>
  <si>
    <t>NPCBag01</t>
    <phoneticPr fontId="10" type="noConversion"/>
  </si>
  <si>
    <t>NPCBag02</t>
    <phoneticPr fontId="10" type="noConversion"/>
  </si>
  <si>
    <t>NPCBag03</t>
    <phoneticPr fontId="10" type="noConversion"/>
  </si>
  <si>
    <t>// Chapter 필드가 구분해 준다고 하더라도 MapNum은 여러곳에서 쓰이기 때문에 다른 맵을 같은 MapNum으로 뭉치면 안된다.  또한 MapNum은 항상 Difficulty 필드와 함께 움직여야 구성요소로의 정상적인 작동을 한다.</t>
    <phoneticPr fontId="10" type="noConversion"/>
  </si>
  <si>
    <t>Bag01</t>
    <phoneticPr fontId="10" type="noConversion"/>
  </si>
  <si>
    <t>Rate01</t>
    <phoneticPr fontId="10" type="noConversion"/>
  </si>
  <si>
    <t>Bag02</t>
    <phoneticPr fontId="10" type="noConversion"/>
  </si>
  <si>
    <t>Rate02</t>
    <phoneticPr fontId="10" type="noConversion"/>
  </si>
  <si>
    <t>Bag03</t>
    <phoneticPr fontId="10" type="noConversion"/>
  </si>
  <si>
    <t>Rate03</t>
    <phoneticPr fontId="10" type="noConversion"/>
  </si>
  <si>
    <t>Bag04</t>
    <phoneticPr fontId="10" type="noConversion"/>
  </si>
  <si>
    <t>Rate04</t>
    <phoneticPr fontId="10" type="noConversion"/>
  </si>
  <si>
    <t>Bag05</t>
    <phoneticPr fontId="10" type="noConversion"/>
  </si>
  <si>
    <t>Rate05</t>
    <phoneticPr fontId="10" type="noConversion"/>
  </si>
  <si>
    <t>//채집은 100% 확률로 무엇이든 나와야 합니다.  그러나 같은 것이 계속 나올 수는 있습니다.  채집이 시도될 때마다 채집백은 처음부터 다시 굴려집니다.</t>
    <phoneticPr fontId="10" type="noConversion"/>
  </si>
  <si>
    <t>&amp;퀘스트 이름</t>
    <phoneticPr fontId="10" type="noConversion"/>
  </si>
  <si>
    <t>왼쪽_NPC인덱스</t>
    <phoneticPr fontId="10" type="noConversion"/>
  </si>
  <si>
    <t>&amp;참조 이름</t>
    <phoneticPr fontId="10" type="noConversion"/>
  </si>
  <si>
    <t>왼쪽_연출</t>
    <phoneticPr fontId="10" type="noConversion"/>
  </si>
  <si>
    <t>&amp;연출이름</t>
    <phoneticPr fontId="10" type="noConversion"/>
  </si>
  <si>
    <t>왼쪽_대화번호</t>
    <phoneticPr fontId="10" type="noConversion"/>
  </si>
  <si>
    <t>&amp;왼쪽_대화내용</t>
    <phoneticPr fontId="10" type="noConversion"/>
  </si>
  <si>
    <t>&amp;오른쪽_대화내용</t>
    <phoneticPr fontId="10" type="noConversion"/>
  </si>
  <si>
    <t>오른쪽_대화번호</t>
    <phoneticPr fontId="10" type="noConversion"/>
  </si>
  <si>
    <t>오른쪽_NPC인덱스</t>
    <phoneticPr fontId="10" type="noConversion"/>
  </si>
  <si>
    <t>LineNumber</t>
    <phoneticPr fontId="10" type="noConversion"/>
  </si>
  <si>
    <t>Left_NPCIndex</t>
    <phoneticPr fontId="10" type="noConversion"/>
  </si>
  <si>
    <t>Left_Dialog</t>
    <phoneticPr fontId="10" type="noConversion"/>
  </si>
  <si>
    <t>Right_Dialog</t>
    <phoneticPr fontId="10" type="noConversion"/>
  </si>
  <si>
    <t>Right_NPCEffect</t>
    <phoneticPr fontId="10" type="noConversion"/>
  </si>
  <si>
    <t>Right_NPCIndex</t>
    <phoneticPr fontId="10" type="noConversion"/>
  </si>
  <si>
    <t>연출이름</t>
    <phoneticPr fontId="10" type="noConversion"/>
  </si>
  <si>
    <t>인덱스</t>
    <phoneticPr fontId="10" type="noConversion"/>
  </si>
  <si>
    <t>&amp;설명</t>
    <phoneticPr fontId="10" type="noConversion"/>
  </si>
  <si>
    <t>백01</t>
    <phoneticPr fontId="10" type="noConversion"/>
  </si>
  <si>
    <t>확률01</t>
    <phoneticPr fontId="10" type="noConversion"/>
  </si>
  <si>
    <t>백02</t>
    <phoneticPr fontId="10" type="noConversion"/>
  </si>
  <si>
    <t>확률02</t>
    <phoneticPr fontId="10" type="noConversion"/>
  </si>
  <si>
    <t>백03</t>
    <phoneticPr fontId="10" type="noConversion"/>
  </si>
  <si>
    <t>확률03</t>
    <phoneticPr fontId="10" type="noConversion"/>
  </si>
  <si>
    <t>백04</t>
    <phoneticPr fontId="10" type="noConversion"/>
  </si>
  <si>
    <t>확률04</t>
    <phoneticPr fontId="10" type="noConversion"/>
  </si>
  <si>
    <t>백05</t>
    <phoneticPr fontId="10" type="noConversion"/>
  </si>
  <si>
    <t>확률05</t>
    <phoneticPr fontId="10" type="noConversion"/>
  </si>
  <si>
    <t>백06</t>
    <phoneticPr fontId="10" type="noConversion"/>
  </si>
  <si>
    <t>확률06</t>
    <phoneticPr fontId="10" type="noConversion"/>
  </si>
  <si>
    <t>백07</t>
    <phoneticPr fontId="10" type="noConversion"/>
  </si>
  <si>
    <t>확률07</t>
    <phoneticPr fontId="10" type="noConversion"/>
  </si>
  <si>
    <t>백08</t>
    <phoneticPr fontId="10" type="noConversion"/>
  </si>
  <si>
    <t>확률08</t>
    <phoneticPr fontId="10" type="noConversion"/>
  </si>
  <si>
    <t>백09</t>
    <phoneticPr fontId="10" type="noConversion"/>
  </si>
  <si>
    <t>확률09</t>
    <phoneticPr fontId="10" type="noConversion"/>
  </si>
  <si>
    <t>백10</t>
    <phoneticPr fontId="10" type="noConversion"/>
  </si>
  <si>
    <t>확률10</t>
    <phoneticPr fontId="10" type="noConversion"/>
  </si>
  <si>
    <t>itemList01</t>
    <phoneticPr fontId="10" type="noConversion"/>
  </si>
  <si>
    <t>Rate01</t>
    <phoneticPr fontId="10" type="noConversion"/>
  </si>
  <si>
    <t>Int</t>
    <phoneticPr fontId="10" type="noConversion"/>
  </si>
  <si>
    <t>// 드랍백은 1 ~ 1,000,000번까지를 사용합니다.  이 부분은 NPC 테이블과 관련이 있습니다.</t>
    <phoneticPr fontId="10" type="noConversion"/>
  </si>
  <si>
    <t>// 테이블 관리</t>
    <phoneticPr fontId="10" type="noConversion"/>
  </si>
  <si>
    <t>테이블버전</t>
    <phoneticPr fontId="10" type="noConversion"/>
  </si>
  <si>
    <t xml:space="preserve">// </t>
    <phoneticPr fontId="10" type="noConversion"/>
  </si>
  <si>
    <t>테스트</t>
    <phoneticPr fontId="10" type="noConversion"/>
  </si>
  <si>
    <t>// 스킬 초기화 관련 캐시 포인트 부분</t>
    <phoneticPr fontId="10" type="noConversion"/>
  </si>
  <si>
    <t>스킬 초기화</t>
    <phoneticPr fontId="10" type="noConversion"/>
  </si>
  <si>
    <t>// 아이템 드랍 및 경험치 패널티</t>
    <phoneticPr fontId="10" type="noConversion"/>
  </si>
  <si>
    <t>// NPC 테이블에서 사용하는 다양한 속성 부분</t>
    <phoneticPr fontId="10" type="noConversion"/>
  </si>
  <si>
    <t>// 등급 (Grade) 필드</t>
    <phoneticPr fontId="10" type="noConversion"/>
  </si>
  <si>
    <t>일반 몬스터</t>
    <phoneticPr fontId="10" type="noConversion"/>
  </si>
  <si>
    <t>네임드 몬스터</t>
    <phoneticPr fontId="10" type="noConversion"/>
  </si>
  <si>
    <t>보스 몬스터</t>
    <phoneticPr fontId="10" type="noConversion"/>
  </si>
  <si>
    <t>&amp;몹이름</t>
    <phoneticPr fontId="10" type="noConversion"/>
  </si>
  <si>
    <t>#NPC이미지</t>
    <phoneticPr fontId="10" type="noConversion"/>
  </si>
  <si>
    <t>종족속성</t>
    <phoneticPr fontId="10" type="noConversion"/>
  </si>
  <si>
    <t>종족</t>
    <phoneticPr fontId="10" type="noConversion"/>
  </si>
  <si>
    <t>등급</t>
    <phoneticPr fontId="10" type="noConversion"/>
  </si>
  <si>
    <t>레벨</t>
    <phoneticPr fontId="10" type="noConversion"/>
  </si>
  <si>
    <t>HP</t>
    <phoneticPr fontId="10" type="noConversion"/>
  </si>
  <si>
    <t>경험치</t>
    <phoneticPr fontId="10" type="noConversion"/>
  </si>
  <si>
    <t>정복자레벨경험치</t>
    <phoneticPr fontId="10" type="noConversion"/>
  </si>
  <si>
    <t>스킬01</t>
    <phoneticPr fontId="10" type="noConversion"/>
  </si>
  <si>
    <t>스킬02</t>
    <phoneticPr fontId="10" type="noConversion"/>
  </si>
  <si>
    <t>스킬03</t>
    <phoneticPr fontId="10" type="noConversion"/>
  </si>
  <si>
    <t>스킬04</t>
    <phoneticPr fontId="10" type="noConversion"/>
  </si>
  <si>
    <t>스킬05</t>
    <phoneticPr fontId="10" type="noConversion"/>
  </si>
  <si>
    <t>드랍백01</t>
    <phoneticPr fontId="10" type="noConversion"/>
  </si>
  <si>
    <t>확률01</t>
    <phoneticPr fontId="10" type="noConversion"/>
  </si>
  <si>
    <t>드랍백02</t>
    <phoneticPr fontId="10" type="noConversion"/>
  </si>
  <si>
    <t>확률02</t>
    <phoneticPr fontId="10" type="noConversion"/>
  </si>
  <si>
    <t>드랍백03</t>
    <phoneticPr fontId="10" type="noConversion"/>
  </si>
  <si>
    <t>드랍백04</t>
    <phoneticPr fontId="10" type="noConversion"/>
  </si>
  <si>
    <t>드랍백05</t>
    <phoneticPr fontId="10" type="noConversion"/>
  </si>
  <si>
    <t>Property</t>
    <phoneticPr fontId="10" type="noConversion"/>
  </si>
  <si>
    <t>Race</t>
    <phoneticPr fontId="10" type="noConversion"/>
  </si>
  <si>
    <t>CLevelExp</t>
    <phoneticPr fontId="10" type="noConversion"/>
  </si>
  <si>
    <t>AddSkill01</t>
    <phoneticPr fontId="10" type="noConversion"/>
  </si>
  <si>
    <t>AddSkill02</t>
    <phoneticPr fontId="10" type="noConversion"/>
  </si>
  <si>
    <t>AddSkill03</t>
    <phoneticPr fontId="10" type="noConversion"/>
  </si>
  <si>
    <t>AddSkill04</t>
    <phoneticPr fontId="10" type="noConversion"/>
  </si>
  <si>
    <t>AddSkill05</t>
    <phoneticPr fontId="10" type="noConversion"/>
  </si>
  <si>
    <t>인덱스</t>
    <phoneticPr fontId="10" type="noConversion"/>
  </si>
  <si>
    <t>횟수</t>
    <phoneticPr fontId="10" type="noConversion"/>
  </si>
  <si>
    <t>몬스터인덱스01</t>
    <phoneticPr fontId="10" type="noConversion"/>
  </si>
  <si>
    <t>&amp;몬스터 이름</t>
    <phoneticPr fontId="10" type="noConversion"/>
  </si>
  <si>
    <t>확률01</t>
    <phoneticPr fontId="10" type="noConversion"/>
  </si>
  <si>
    <t>숫자01</t>
    <phoneticPr fontId="10" type="noConversion"/>
  </si>
  <si>
    <t>확률02</t>
    <phoneticPr fontId="10" type="noConversion"/>
  </si>
  <si>
    <t>확률03</t>
    <phoneticPr fontId="10" type="noConversion"/>
  </si>
  <si>
    <t>확률04</t>
    <phoneticPr fontId="10" type="noConversion"/>
  </si>
  <si>
    <t>확률05</t>
    <phoneticPr fontId="10" type="noConversion"/>
  </si>
  <si>
    <t>보스인덱스</t>
    <phoneticPr fontId="10" type="noConversion"/>
  </si>
  <si>
    <t>숫자</t>
    <phoneticPr fontId="10" type="noConversion"/>
  </si>
  <si>
    <t>게이지량</t>
    <phoneticPr fontId="10" type="noConversion"/>
  </si>
  <si>
    <t>Num</t>
    <phoneticPr fontId="10" type="noConversion"/>
  </si>
  <si>
    <t>Repeat</t>
    <phoneticPr fontId="10" type="noConversion"/>
  </si>
  <si>
    <t>NPCNum01</t>
    <phoneticPr fontId="10" type="noConversion"/>
  </si>
  <si>
    <t>Rate01</t>
    <phoneticPr fontId="10" type="noConversion"/>
  </si>
  <si>
    <t>Count01</t>
    <phoneticPr fontId="10" type="noConversion"/>
  </si>
  <si>
    <t>Rate02</t>
    <phoneticPr fontId="10" type="noConversion"/>
  </si>
  <si>
    <t>Rate03</t>
    <phoneticPr fontId="10" type="noConversion"/>
  </si>
  <si>
    <t>Rate04</t>
    <phoneticPr fontId="10" type="noConversion"/>
  </si>
  <si>
    <t>Rate05</t>
    <phoneticPr fontId="10" type="noConversion"/>
  </si>
  <si>
    <t>BossNum</t>
    <phoneticPr fontId="10" type="noConversion"/>
  </si>
  <si>
    <t>BossCount</t>
    <phoneticPr fontId="10" type="noConversion"/>
  </si>
  <si>
    <t>GaugeCount</t>
    <phoneticPr fontId="10" type="noConversion"/>
  </si>
  <si>
    <t>&amp;아이템 이름</t>
    <phoneticPr fontId="10" type="noConversion"/>
  </si>
  <si>
    <t>#아틀라스이미지</t>
    <phoneticPr fontId="10" type="noConversion"/>
  </si>
  <si>
    <t>#이미지파일명</t>
    <phoneticPr fontId="10" type="noConversion"/>
  </si>
  <si>
    <t>등급</t>
    <phoneticPr fontId="10" type="noConversion"/>
  </si>
  <si>
    <t>셋트인덱스</t>
    <phoneticPr fontId="10" type="noConversion"/>
  </si>
  <si>
    <t>레벨제한</t>
    <phoneticPr fontId="10" type="noConversion"/>
  </si>
  <si>
    <t>직업제한</t>
    <phoneticPr fontId="10" type="noConversion"/>
  </si>
  <si>
    <t>종류</t>
    <phoneticPr fontId="10" type="noConversion"/>
  </si>
  <si>
    <t>장착위치</t>
    <phoneticPr fontId="10" type="noConversion"/>
  </si>
  <si>
    <t>구입가격</t>
    <phoneticPr fontId="10" type="noConversion"/>
  </si>
  <si>
    <t>판매가격</t>
    <phoneticPr fontId="10" type="noConversion"/>
  </si>
  <si>
    <t>구입캐시</t>
    <phoneticPr fontId="10" type="noConversion"/>
  </si>
  <si>
    <t>겹쳐지는수</t>
    <phoneticPr fontId="10" type="noConversion"/>
  </si>
  <si>
    <t>재료백</t>
    <phoneticPr fontId="10" type="noConversion"/>
  </si>
  <si>
    <t>적중률</t>
    <phoneticPr fontId="10" type="noConversion"/>
  </si>
  <si>
    <t>공격력</t>
    <phoneticPr fontId="10" type="noConversion"/>
  </si>
  <si>
    <t>불공격력</t>
    <phoneticPr fontId="10" type="noConversion"/>
  </si>
  <si>
    <t>물공격력</t>
    <phoneticPr fontId="10" type="noConversion"/>
  </si>
  <si>
    <t>자연공격력</t>
    <phoneticPr fontId="10" type="noConversion"/>
  </si>
  <si>
    <t>빛공격력</t>
    <phoneticPr fontId="10" type="noConversion"/>
  </si>
  <si>
    <t>어둠공격력</t>
    <phoneticPr fontId="10" type="noConversion"/>
  </si>
  <si>
    <t>방어력</t>
    <phoneticPr fontId="10" type="noConversion"/>
  </si>
  <si>
    <t>참스킬</t>
    <phoneticPr fontId="10" type="noConversion"/>
  </si>
  <si>
    <t>#툴팁</t>
    <phoneticPr fontId="10" type="noConversion"/>
  </si>
  <si>
    <t>AtlasName</t>
    <phoneticPr fontId="10" type="noConversion"/>
  </si>
  <si>
    <t>imgFileName</t>
    <phoneticPr fontId="10" type="noConversion"/>
  </si>
  <si>
    <t>SetNum</t>
    <phoneticPr fontId="10" type="noConversion"/>
  </si>
  <si>
    <t>LimitLevel</t>
    <phoneticPr fontId="10" type="noConversion"/>
  </si>
  <si>
    <t>LimitJob</t>
    <phoneticPr fontId="10" type="noConversion"/>
  </si>
  <si>
    <t>Kind</t>
    <phoneticPr fontId="10" type="noConversion"/>
  </si>
  <si>
    <t>EquipLocation</t>
    <phoneticPr fontId="10" type="noConversion"/>
  </si>
  <si>
    <t>Buy</t>
    <phoneticPr fontId="10" type="noConversion"/>
  </si>
  <si>
    <t>Sell</t>
    <phoneticPr fontId="10" type="noConversion"/>
  </si>
  <si>
    <t>BuyCrystal</t>
    <phoneticPr fontId="10" type="noConversion"/>
  </si>
  <si>
    <t>Stacks</t>
    <phoneticPr fontId="10" type="noConversion"/>
  </si>
  <si>
    <t>Material</t>
    <phoneticPr fontId="10" type="noConversion"/>
  </si>
  <si>
    <t>HitRate</t>
    <phoneticPr fontId="10" type="noConversion"/>
  </si>
  <si>
    <t>Atk</t>
    <phoneticPr fontId="10" type="noConversion"/>
  </si>
  <si>
    <t>Def</t>
    <phoneticPr fontId="10" type="noConversion"/>
  </si>
  <si>
    <t>CharmSkill</t>
    <phoneticPr fontId="10" type="noConversion"/>
  </si>
  <si>
    <t>Tooltip</t>
    <phoneticPr fontId="10" type="noConversion"/>
  </si>
  <si>
    <t>Char[30]</t>
    <phoneticPr fontId="10" type="noConversion"/>
  </si>
  <si>
    <t>Char[50]</t>
    <phoneticPr fontId="10" type="noConversion"/>
  </si>
  <si>
    <t>// 장비 : 상의 인덱스 20,001 ~ 30,000</t>
    <phoneticPr fontId="10" type="noConversion"/>
  </si>
  <si>
    <t>// 장비 : 장갑 인덱스 40,001 ~ 50,000</t>
    <phoneticPr fontId="10" type="noConversion"/>
  </si>
  <si>
    <t>// 장비 : 신발 인덱스 50,001 ~ 60,000</t>
    <phoneticPr fontId="10" type="noConversion"/>
  </si>
  <si>
    <t>// 장비 : 방패 인덱스 60,001 ~ 70,000</t>
    <phoneticPr fontId="10" type="noConversion"/>
  </si>
  <si>
    <t>// 장비 : 무기 인덱스 70,001 ~ 90,000</t>
    <phoneticPr fontId="10" type="noConversion"/>
  </si>
  <si>
    <t>// 장비 : 반지 인덱스 90,001 ~ 100,000</t>
    <phoneticPr fontId="10" type="noConversion"/>
  </si>
  <si>
    <t>// 장비 : 팔찌 인덱스 100,001 ~ 110,000</t>
    <phoneticPr fontId="10" type="noConversion"/>
  </si>
  <si>
    <t>// 장비 : 목걸이 인덱스 110,001 ~ 120,000</t>
    <phoneticPr fontId="10" type="noConversion"/>
  </si>
  <si>
    <t>// 재료 인덱스 120,001 ~ 140,000</t>
    <phoneticPr fontId="10" type="noConversion"/>
  </si>
  <si>
    <t>// 퀘스트 아이템 인덱스 140,001 ~ 150,000</t>
    <phoneticPr fontId="10" type="noConversion"/>
  </si>
  <si>
    <t>#셋트이름</t>
    <phoneticPr fontId="10" type="noConversion"/>
  </si>
  <si>
    <t>&amp;셋트이름</t>
    <phoneticPr fontId="10" type="noConversion"/>
  </si>
  <si>
    <t>2셋트스킬</t>
    <phoneticPr fontId="10" type="noConversion"/>
  </si>
  <si>
    <t>3셋트스킬</t>
    <phoneticPr fontId="10" type="noConversion"/>
  </si>
  <si>
    <t>SetName</t>
    <phoneticPr fontId="10" type="noConversion"/>
  </si>
  <si>
    <t>Set2Skill</t>
    <phoneticPr fontId="10" type="noConversion"/>
  </si>
  <si>
    <t>Set3Skill</t>
    <phoneticPr fontId="10" type="noConversion"/>
  </si>
  <si>
    <t>// 셋트 아이템</t>
    <phoneticPr fontId="10" type="noConversion"/>
  </si>
  <si>
    <t>#스킬명</t>
    <phoneticPr fontId="39" type="noConversion"/>
  </si>
  <si>
    <t>#스킬아틀라스</t>
    <phoneticPr fontId="39" type="noConversion"/>
  </si>
  <si>
    <t>#스킬아이콘</t>
    <phoneticPr fontId="39" type="noConversion"/>
  </si>
  <si>
    <t>비용(게임머니)</t>
    <phoneticPr fontId="39" type="noConversion"/>
  </si>
  <si>
    <t>비용(캐시)</t>
    <phoneticPr fontId="39" type="noConversion"/>
  </si>
  <si>
    <t>몹 캐스팅타임</t>
    <phoneticPr fontId="39" type="noConversion"/>
  </si>
  <si>
    <t>쿨타임</t>
    <phoneticPr fontId="39" type="noConversion"/>
  </si>
  <si>
    <t>필요MP</t>
    <phoneticPr fontId="39" type="noConversion"/>
  </si>
  <si>
    <t>발사이펙트</t>
    <phoneticPr fontId="39" type="noConversion"/>
  </si>
  <si>
    <t>명중이펙트</t>
    <phoneticPr fontId="39" type="noConversion"/>
  </si>
  <si>
    <t>유지이펙트</t>
    <phoneticPr fontId="39" type="noConversion"/>
  </si>
  <si>
    <t>#툴팁</t>
    <phoneticPr fontId="39" type="noConversion"/>
  </si>
  <si>
    <t>지속시간</t>
    <phoneticPr fontId="39" type="noConversion"/>
  </si>
  <si>
    <t>틱</t>
    <phoneticPr fontId="39" type="noConversion"/>
  </si>
  <si>
    <t>버프아틀라스</t>
    <phoneticPr fontId="39" type="noConversion"/>
  </si>
  <si>
    <t>버프아이콘</t>
    <phoneticPr fontId="39" type="noConversion"/>
  </si>
  <si>
    <t>대상</t>
    <phoneticPr fontId="39" type="noConversion"/>
  </si>
  <si>
    <t>HP회복(만분율)</t>
    <phoneticPr fontId="39" type="noConversion"/>
  </si>
  <si>
    <t>HP회복(정수)</t>
    <phoneticPr fontId="39" type="noConversion"/>
  </si>
  <si>
    <t>HP포션효과증가(만분율)</t>
    <phoneticPr fontId="10" type="noConversion"/>
  </si>
  <si>
    <t>MP포션효과증가(만분율)</t>
    <phoneticPr fontId="10" type="noConversion"/>
  </si>
  <si>
    <t>MAX HP 증가(만분율)</t>
    <phoneticPr fontId="39" type="noConversion"/>
  </si>
  <si>
    <t>MAX HP 증가(정수)</t>
    <phoneticPr fontId="39" type="noConversion"/>
  </si>
  <si>
    <t>쿨타임 감소율(만분율)</t>
    <phoneticPr fontId="39" type="noConversion"/>
  </si>
  <si>
    <t>MP소모 감소율(만분율)</t>
    <phoneticPr fontId="39" type="noConversion"/>
  </si>
  <si>
    <t>공격(만분율)</t>
    <phoneticPr fontId="39" type="noConversion"/>
  </si>
  <si>
    <t>공격(정수)</t>
    <phoneticPr fontId="39" type="noConversion"/>
  </si>
  <si>
    <t>방어(정수)</t>
    <phoneticPr fontId="39" type="noConversion"/>
  </si>
  <si>
    <t>공격력증폭(만분율)</t>
    <phoneticPr fontId="10" type="noConversion"/>
  </si>
  <si>
    <t>공격력증폭(정수)</t>
    <phoneticPr fontId="10" type="noConversion"/>
  </si>
  <si>
    <t>상태이상 적 추가피해(만분율)</t>
    <phoneticPr fontId="10" type="noConversion"/>
  </si>
  <si>
    <t>종족공격(만분율)</t>
    <phoneticPr fontId="39" type="noConversion"/>
  </si>
  <si>
    <t>종족방어(만분율)</t>
    <phoneticPr fontId="39" type="noConversion"/>
  </si>
  <si>
    <t>그룹공격(만분율)</t>
    <phoneticPr fontId="39" type="noConversion"/>
  </si>
  <si>
    <t>그룹방어(만분율)</t>
    <phoneticPr fontId="39" type="noConversion"/>
  </si>
  <si>
    <t>힘 증가(만분율)</t>
    <phoneticPr fontId="39" type="noConversion"/>
  </si>
  <si>
    <t>힘 증가(정수)</t>
    <phoneticPr fontId="39" type="noConversion"/>
  </si>
  <si>
    <t>민첩 증가(만분율)</t>
    <phoneticPr fontId="39" type="noConversion"/>
  </si>
  <si>
    <t>민첩 증가(정수)</t>
    <phoneticPr fontId="39" type="noConversion"/>
  </si>
  <si>
    <t>체력 증가(만분율)</t>
    <phoneticPr fontId="39" type="noConversion"/>
  </si>
  <si>
    <t>체력 증가(지능)</t>
    <phoneticPr fontId="39" type="noConversion"/>
  </si>
  <si>
    <t>지능 증가(만분율)</t>
    <phoneticPr fontId="39" type="noConversion"/>
  </si>
  <si>
    <t>지능 증가(정수)</t>
    <phoneticPr fontId="39" type="noConversion"/>
  </si>
  <si>
    <t>극대화 확률(만분율)</t>
    <phoneticPr fontId="39" type="noConversion"/>
  </si>
  <si>
    <t>극대화 피해(만분율)</t>
    <phoneticPr fontId="39" type="noConversion"/>
  </si>
  <si>
    <t>석화 확률(만분율)</t>
    <phoneticPr fontId="39" type="noConversion"/>
  </si>
  <si>
    <t>수면 확률(만분율)</t>
    <phoneticPr fontId="39" type="noConversion"/>
  </si>
  <si>
    <t>빙결 확률(만분율)</t>
    <phoneticPr fontId="39" type="noConversion"/>
  </si>
  <si>
    <t>공포 확률(만분율)</t>
    <phoneticPr fontId="39" type="noConversion"/>
  </si>
  <si>
    <t>저주 확률(만분율)</t>
    <phoneticPr fontId="39" type="noConversion"/>
  </si>
  <si>
    <t>모든 상태이상 저항율(만분율)</t>
    <phoneticPr fontId="39" type="noConversion"/>
  </si>
  <si>
    <t>아이템 드랍율 증가(만분율)</t>
    <phoneticPr fontId="39" type="noConversion"/>
  </si>
  <si>
    <t>골드 드랍율 증가(만분율)</t>
    <phoneticPr fontId="39" type="noConversion"/>
  </si>
  <si>
    <t>경험치 증가 확률(만분율)</t>
    <phoneticPr fontId="39" type="noConversion"/>
  </si>
  <si>
    <t>Num</t>
    <phoneticPr fontId="39" type="noConversion"/>
  </si>
  <si>
    <t>SkillName</t>
    <phoneticPr fontId="39" type="noConversion"/>
  </si>
  <si>
    <t>Skillicon</t>
    <phoneticPr fontId="39" type="noConversion"/>
  </si>
  <si>
    <t>Sorticon</t>
    <phoneticPr fontId="39" type="noConversion"/>
  </si>
  <si>
    <t>Cost_Gold</t>
    <phoneticPr fontId="39" type="noConversion"/>
  </si>
  <si>
    <t>Cost_Cash</t>
    <phoneticPr fontId="39" type="noConversion"/>
  </si>
  <si>
    <t>NPC_CastTime</t>
    <phoneticPr fontId="39" type="noConversion"/>
  </si>
  <si>
    <t>CoolTime</t>
    <phoneticPr fontId="39" type="noConversion"/>
  </si>
  <si>
    <t>NeedMP</t>
    <phoneticPr fontId="39" type="noConversion"/>
  </si>
  <si>
    <t>ToolTip</t>
    <phoneticPr fontId="39" type="noConversion"/>
  </si>
  <si>
    <t>Target</t>
    <phoneticPr fontId="39" type="noConversion"/>
  </si>
  <si>
    <t>HP_RestoreRate</t>
    <phoneticPr fontId="39" type="noConversion"/>
  </si>
  <si>
    <t>MP_RestoreRate</t>
    <phoneticPr fontId="39" type="noConversion"/>
  </si>
  <si>
    <t>MP_Restore</t>
    <phoneticPr fontId="39" type="noConversion"/>
  </si>
  <si>
    <t>HPpotionAddEffect</t>
    <phoneticPr fontId="10" type="noConversion"/>
  </si>
  <si>
    <t>MPpotionAddEffect</t>
    <phoneticPr fontId="10" type="noConversion"/>
  </si>
  <si>
    <t>MAXHP_AmplifyRate</t>
    <phoneticPr fontId="39" type="noConversion"/>
  </si>
  <si>
    <t>MAXHP_Amplify</t>
    <phoneticPr fontId="39" type="noConversion"/>
  </si>
  <si>
    <t>CoolTime_DecreaseRate</t>
    <phoneticPr fontId="39" type="noConversion"/>
  </si>
  <si>
    <t>NeedMP_DecreaseRate</t>
    <phoneticPr fontId="39" type="noConversion"/>
  </si>
  <si>
    <t>Atk_Rate</t>
    <phoneticPr fontId="39" type="noConversion"/>
  </si>
  <si>
    <t>Def_Rate</t>
    <phoneticPr fontId="39" type="noConversion"/>
  </si>
  <si>
    <t>Atk_integer</t>
    <phoneticPr fontId="39" type="noConversion"/>
  </si>
  <si>
    <t>Def_integer</t>
    <phoneticPr fontId="39" type="noConversion"/>
  </si>
  <si>
    <t>Atk_AmplifyRate</t>
    <phoneticPr fontId="10" type="noConversion"/>
  </si>
  <si>
    <t>Atk_Amplifyinteger</t>
    <phoneticPr fontId="10" type="noConversion"/>
  </si>
  <si>
    <t>DebuffAddDamage</t>
    <phoneticPr fontId="10" type="noConversion"/>
  </si>
  <si>
    <t>RaceAtk_Rate</t>
    <phoneticPr fontId="39" type="noConversion"/>
  </si>
  <si>
    <t>RaceDef_Rate</t>
    <phoneticPr fontId="39" type="noConversion"/>
  </si>
  <si>
    <t>GroupAtk_Rate</t>
    <phoneticPr fontId="39" type="noConversion"/>
  </si>
  <si>
    <t>GroupDef_Rate</t>
    <phoneticPr fontId="39" type="noConversion"/>
  </si>
  <si>
    <t>FireAtk</t>
    <phoneticPr fontId="39" type="noConversion"/>
  </si>
  <si>
    <t>FireDef</t>
    <phoneticPr fontId="39" type="noConversion"/>
  </si>
  <si>
    <t>WaterAtk</t>
    <phoneticPr fontId="39" type="noConversion"/>
  </si>
  <si>
    <t>WaterDef</t>
    <phoneticPr fontId="39" type="noConversion"/>
  </si>
  <si>
    <t>NatureAtk</t>
    <phoneticPr fontId="39" type="noConversion"/>
  </si>
  <si>
    <t>NatureDef</t>
    <phoneticPr fontId="39" type="noConversion"/>
  </si>
  <si>
    <t>LightAtk</t>
    <phoneticPr fontId="39" type="noConversion"/>
  </si>
  <si>
    <t>LightDef</t>
    <phoneticPr fontId="39" type="noConversion"/>
  </si>
  <si>
    <t>DarkAtk</t>
    <phoneticPr fontId="39" type="noConversion"/>
  </si>
  <si>
    <t>DarkDef</t>
    <phoneticPr fontId="39" type="noConversion"/>
  </si>
  <si>
    <t>Str_Rate</t>
    <phoneticPr fontId="39" type="noConversion"/>
  </si>
  <si>
    <t>Str_integer</t>
    <phoneticPr fontId="39" type="noConversion"/>
  </si>
  <si>
    <t>Dex_Rate</t>
    <phoneticPr fontId="39" type="noConversion"/>
  </si>
  <si>
    <t>Dex_integer</t>
    <phoneticPr fontId="39" type="noConversion"/>
  </si>
  <si>
    <t>Con_Rate</t>
    <phoneticPr fontId="39" type="noConversion"/>
  </si>
  <si>
    <t>Con_integer</t>
    <phoneticPr fontId="39" type="noConversion"/>
  </si>
  <si>
    <t>Int_Rate</t>
    <phoneticPr fontId="39" type="noConversion"/>
  </si>
  <si>
    <t>Int_integer</t>
    <phoneticPr fontId="39" type="noConversion"/>
  </si>
  <si>
    <t>Critical_Rate</t>
    <phoneticPr fontId="39" type="noConversion"/>
  </si>
  <si>
    <t>CriticalDamage_Rate</t>
    <phoneticPr fontId="39" type="noConversion"/>
  </si>
  <si>
    <t>Stone_Rate</t>
    <phoneticPr fontId="39" type="noConversion"/>
  </si>
  <si>
    <t>Sleep_Rate</t>
    <phoneticPr fontId="39" type="noConversion"/>
  </si>
  <si>
    <t>Freeze_Rate</t>
    <phoneticPr fontId="39" type="noConversion"/>
  </si>
  <si>
    <t>Fear_Rate</t>
    <phoneticPr fontId="39" type="noConversion"/>
  </si>
  <si>
    <t>Curse_Rate</t>
    <phoneticPr fontId="39" type="noConversion"/>
  </si>
  <si>
    <t>AllResist_Rate</t>
    <phoneticPr fontId="39" type="noConversion"/>
  </si>
  <si>
    <t>itemDrop_Rate</t>
    <phoneticPr fontId="39" type="noConversion"/>
  </si>
  <si>
    <t>GoldDrop_Rate</t>
    <phoneticPr fontId="39" type="noConversion"/>
  </si>
  <si>
    <t>AddExp_Rate</t>
    <phoneticPr fontId="39" type="noConversion"/>
  </si>
  <si>
    <t>Int</t>
    <phoneticPr fontId="39" type="noConversion"/>
  </si>
  <si>
    <t>VarChar[50]</t>
    <phoneticPr fontId="39" type="noConversion"/>
  </si>
  <si>
    <t>// 패시브 스킬 인덱스 1 ~ 10,000</t>
    <phoneticPr fontId="10" type="noConversion"/>
  </si>
  <si>
    <t>// 특성화 스킬 인덱스 10,001 ~ 20,000</t>
    <phoneticPr fontId="10" type="noConversion"/>
  </si>
  <si>
    <t>// 액티브/패시브/버프/디버프 스킬 인덱스 20,001 ~ 100,000</t>
    <phoneticPr fontId="10" type="noConversion"/>
  </si>
  <si>
    <t>// 참 스킬 인덱스 100,001 ~ 120,000</t>
    <phoneticPr fontId="10" type="noConversion"/>
  </si>
  <si>
    <t>// 카드 장착시 발동하는 스킬 인덱스 120,001 ~ 140,000</t>
    <phoneticPr fontId="10" type="noConversion"/>
  </si>
  <si>
    <t>// 셋트 아이템의 스킬 인덱스 140,001 ~ 200,000</t>
    <phoneticPr fontId="10" type="noConversion"/>
  </si>
  <si>
    <t>// NPC테이블의 몬스터의 스킬 인덱스 200,001 ~ 210,000</t>
    <phoneticPr fontId="10" type="noConversion"/>
  </si>
  <si>
    <t>몬스터의 기본공격</t>
    <phoneticPr fontId="10" type="noConversion"/>
  </si>
  <si>
    <t>// 다양한 소모품으로 인해 발생하는 스킬 인덱스 210,001 ~ 220,000</t>
    <phoneticPr fontId="10" type="noConversion"/>
  </si>
  <si>
    <t>인덱스</t>
    <phoneticPr fontId="10" type="noConversion"/>
  </si>
  <si>
    <t>한국 텍스트</t>
    <phoneticPr fontId="10" type="noConversion"/>
  </si>
  <si>
    <t>영문 텍스트</t>
    <phoneticPr fontId="10" type="noConversion"/>
  </si>
  <si>
    <t>일문 텍스트</t>
    <phoneticPr fontId="10" type="noConversion"/>
  </si>
  <si>
    <t>Num</t>
    <phoneticPr fontId="10" type="noConversion"/>
  </si>
  <si>
    <t>Kor</t>
    <phoneticPr fontId="10" type="noConversion"/>
  </si>
  <si>
    <t>Eng</t>
    <phoneticPr fontId="10" type="noConversion"/>
  </si>
  <si>
    <t>Jpn</t>
    <phoneticPr fontId="10" type="noConversion"/>
  </si>
  <si>
    <t>코볼트 채집꾼</t>
    <phoneticPr fontId="10" type="noConversion"/>
  </si>
  <si>
    <t>코볼트 일꾼</t>
    <phoneticPr fontId="10" type="noConversion"/>
  </si>
  <si>
    <t>코볼트 광부</t>
    <phoneticPr fontId="10" type="noConversion"/>
  </si>
  <si>
    <t>윌 오 더 위스프</t>
    <phoneticPr fontId="10" type="noConversion"/>
  </si>
  <si>
    <t>무기 숙련자</t>
    <phoneticPr fontId="10" type="noConversion"/>
  </si>
  <si>
    <t>방어구 숙련자</t>
    <phoneticPr fontId="10" type="noConversion"/>
  </si>
  <si>
    <t>무자비</t>
    <phoneticPr fontId="10" type="noConversion"/>
  </si>
  <si>
    <t>물약 중독자</t>
    <phoneticPr fontId="10" type="noConversion"/>
  </si>
  <si>
    <t>싸움꾼</t>
    <phoneticPr fontId="10" type="noConversion"/>
  </si>
  <si>
    <t>고블린 사냥꾼</t>
    <phoneticPr fontId="10" type="noConversion"/>
  </si>
  <si>
    <t>아둠의 지배자</t>
    <phoneticPr fontId="10" type="noConversion"/>
  </si>
  <si>
    <t>악마 사냥꾼</t>
    <phoneticPr fontId="10" type="noConversion"/>
  </si>
  <si>
    <t>전문 난투꾼</t>
    <phoneticPr fontId="10" type="noConversion"/>
  </si>
  <si>
    <t>이 쬐끄마한게!</t>
    <phoneticPr fontId="10" type="noConversion"/>
  </si>
  <si>
    <t>기본 공격</t>
    <phoneticPr fontId="10" type="noConversion"/>
  </si>
  <si>
    <t>라이트닝 볼트</t>
    <phoneticPr fontId="10" type="noConversion"/>
  </si>
  <si>
    <t>에너지 볼트</t>
    <phoneticPr fontId="10" type="noConversion"/>
  </si>
  <si>
    <t>파이어 볼</t>
    <phoneticPr fontId="10" type="noConversion"/>
  </si>
  <si>
    <t>힐</t>
    <phoneticPr fontId="10" type="noConversion"/>
  </si>
  <si>
    <t>플래시 투 스톤</t>
    <phoneticPr fontId="10" type="noConversion"/>
  </si>
  <si>
    <t>메테오</t>
    <phoneticPr fontId="10" type="noConversion"/>
  </si>
  <si>
    <t>디멘션 컷</t>
    <phoneticPr fontId="10" type="noConversion"/>
  </si>
  <si>
    <t>인덱스</t>
    <phoneticPr fontId="10" type="noConversion"/>
  </si>
  <si>
    <t>카테고리</t>
    <phoneticPr fontId="10" type="noConversion"/>
  </si>
  <si>
    <t>#업적제목</t>
    <phoneticPr fontId="10" type="noConversion"/>
  </si>
  <si>
    <t>&amp;업적제목</t>
    <phoneticPr fontId="10" type="noConversion"/>
  </si>
  <si>
    <t>업적조건</t>
    <phoneticPr fontId="10" type="noConversion"/>
  </si>
  <si>
    <t>업적목표</t>
    <phoneticPr fontId="10" type="noConversion"/>
  </si>
  <si>
    <t>업적달성값</t>
    <phoneticPr fontId="10" type="noConversion"/>
  </si>
  <si>
    <t>업적포인트</t>
    <phoneticPr fontId="10" type="noConversion"/>
  </si>
  <si>
    <t>업적보상</t>
    <phoneticPr fontId="10" type="noConversion"/>
  </si>
  <si>
    <t>Category</t>
    <phoneticPr fontId="10" type="noConversion"/>
  </si>
  <si>
    <t>Target</t>
    <phoneticPr fontId="10" type="noConversion"/>
  </si>
  <si>
    <t>Value</t>
    <phoneticPr fontId="10" type="noConversion"/>
  </si>
  <si>
    <t>Point</t>
    <phoneticPr fontId="10" type="noConversion"/>
  </si>
  <si>
    <t>Result</t>
    <phoneticPr fontId="10" type="noConversion"/>
  </si>
  <si>
    <t>#업적제목</t>
    <phoneticPr fontId="10" type="noConversion"/>
  </si>
  <si>
    <t>보상금액</t>
    <phoneticPr fontId="10" type="noConversion"/>
  </si>
  <si>
    <t>보상아이템</t>
    <phoneticPr fontId="10" type="noConversion"/>
  </si>
  <si>
    <t>보상캐시</t>
    <phoneticPr fontId="10" type="noConversion"/>
  </si>
  <si>
    <t>ResultGold</t>
    <phoneticPr fontId="10" type="noConversion"/>
  </si>
  <si>
    <t>Resultitem</t>
    <phoneticPr fontId="10" type="noConversion"/>
  </si>
  <si>
    <t>ResultCash</t>
    <phoneticPr fontId="10" type="noConversion"/>
  </si>
  <si>
    <t>// 1 ~ 10,000번까지는 Achievement 테이블의 업적에 대한 보상결과값이 입력된다.</t>
    <phoneticPr fontId="10" type="noConversion"/>
  </si>
  <si>
    <t>// 10,001 ~ 20,000번까지는 LocalAchievement 테이블의 지역업적에 대한 보상결과값이 입력된다.</t>
    <phoneticPr fontId="10" type="noConversion"/>
  </si>
  <si>
    <t>&amp;설명</t>
    <phoneticPr fontId="10" type="noConversion"/>
  </si>
  <si>
    <t>아이템리스트01</t>
    <phoneticPr fontId="10" type="noConversion"/>
  </si>
  <si>
    <t>아이템리스트02</t>
    <phoneticPr fontId="10" type="noConversion"/>
  </si>
  <si>
    <t>Num</t>
    <phoneticPr fontId="10" type="noConversion"/>
  </si>
  <si>
    <t>itemList01</t>
    <phoneticPr fontId="10" type="noConversion"/>
  </si>
  <si>
    <t>itemList02</t>
    <phoneticPr fontId="10" type="noConversion"/>
  </si>
  <si>
    <t>무기점</t>
    <phoneticPr fontId="10" type="noConversion"/>
  </si>
  <si>
    <t>방어구점</t>
    <phoneticPr fontId="10" type="noConversion"/>
  </si>
  <si>
    <t>잡화점</t>
    <phoneticPr fontId="10" type="noConversion"/>
  </si>
  <si>
    <t>인덱스</t>
    <phoneticPr fontId="10" type="noConversion"/>
  </si>
  <si>
    <t>&amp;텍스트색상</t>
    <phoneticPr fontId="10" type="noConversion"/>
  </si>
  <si>
    <t>&amp;아이템품질</t>
    <phoneticPr fontId="10" type="noConversion"/>
  </si>
  <si>
    <t>등급색상_R</t>
    <phoneticPr fontId="10" type="noConversion"/>
  </si>
  <si>
    <t>등급색상_G</t>
    <phoneticPr fontId="10" type="noConversion"/>
  </si>
  <si>
    <t>등급색상_B</t>
    <phoneticPr fontId="10" type="noConversion"/>
  </si>
  <si>
    <t>헥스</t>
    <phoneticPr fontId="10" type="noConversion"/>
  </si>
  <si>
    <t>사운드</t>
    <phoneticPr fontId="10" type="noConversion"/>
  </si>
  <si>
    <t>Num</t>
    <phoneticPr fontId="10" type="noConversion"/>
  </si>
  <si>
    <t>Color_R</t>
    <phoneticPr fontId="10" type="noConversion"/>
  </si>
  <si>
    <t>Color_G</t>
    <phoneticPr fontId="10" type="noConversion"/>
  </si>
  <si>
    <t>Color_B</t>
    <phoneticPr fontId="10" type="noConversion"/>
  </si>
  <si>
    <t>Hex</t>
    <phoneticPr fontId="10" type="noConversion"/>
  </si>
  <si>
    <t>Sounds</t>
    <phoneticPr fontId="10" type="noConversion"/>
  </si>
  <si>
    <t>// Hex 색상은 http://www.javascripter.net/faq/rgbtohex.htm 사이트를 참조 했습니다.</t>
    <phoneticPr fontId="10" type="noConversion"/>
  </si>
  <si>
    <t>// Grade 테이블은 Item 테이블에 있는 Grade 필드에 따라 아이템의 테두리 색상이나 툴팁에서의 아이템 이름의 글자 색상 등에 영향을 준다.</t>
    <phoneticPr fontId="10" type="noConversion"/>
  </si>
  <si>
    <t>저급</t>
    <phoneticPr fontId="10" type="noConversion"/>
  </si>
  <si>
    <t>일반</t>
    <phoneticPr fontId="10" type="noConversion"/>
  </si>
  <si>
    <t>[00FF00]</t>
    <phoneticPr fontId="10" type="noConversion"/>
  </si>
  <si>
    <t>ItemDrop Import Setting</t>
    <phoneticPr fontId="10" type="noConversion"/>
  </si>
  <si>
    <t>고급</t>
    <phoneticPr fontId="10" type="noConversion"/>
  </si>
  <si>
    <t>[0000FF]</t>
    <phoneticPr fontId="10" type="noConversion"/>
  </si>
  <si>
    <t>마법</t>
    <phoneticPr fontId="10" type="noConversion"/>
  </si>
  <si>
    <t>[FF6C00]</t>
    <phoneticPr fontId="10" type="noConversion"/>
  </si>
  <si>
    <t>ItemDrop Import Setting</t>
    <phoneticPr fontId="10" type="noConversion"/>
  </si>
  <si>
    <t>전설</t>
    <phoneticPr fontId="10" type="noConversion"/>
  </si>
  <si>
    <t>[FF0000]</t>
    <phoneticPr fontId="10" type="noConversion"/>
  </si>
  <si>
    <t>셋트</t>
    <phoneticPr fontId="10" type="noConversion"/>
  </si>
  <si>
    <t>[D800FF]</t>
    <phoneticPr fontId="10" type="noConversion"/>
  </si>
  <si>
    <t>※ 자료형 정의 (8개 이상의 자료형을 넣기 위해서는 코드를 수정해야 합니다. 관리자에게 문의하시기 바랍니다.)</t>
  </si>
  <si>
    <t>C# 자료형</t>
  </si>
  <si>
    <t>크기(byte)</t>
  </si>
  <si>
    <t>bool</t>
  </si>
  <si>
    <t>Float</t>
  </si>
  <si>
    <t>string</t>
  </si>
  <si>
    <t>ItemDrop Special Import Settings2</t>
    <phoneticPr fontId="10" type="noConversion"/>
  </si>
  <si>
    <t>정복자레벨</t>
    <phoneticPr fontId="10" type="noConversion"/>
  </si>
  <si>
    <t>&amp;누적계수 계산</t>
    <phoneticPr fontId="10" type="noConversion"/>
  </si>
  <si>
    <t>MessgeCode</t>
    <phoneticPr fontId="10" type="noConversion"/>
  </si>
  <si>
    <t>서버의 메시지 코드</t>
    <phoneticPr fontId="10" type="noConversion"/>
  </si>
  <si>
    <t>텍스트 링크</t>
    <phoneticPr fontId="10" type="noConversion"/>
  </si>
  <si>
    <t>Int</t>
    <phoneticPr fontId="10" type="noConversion"/>
  </si>
  <si>
    <t>// 1번은 서버에서 온 메시지가 아닌 로컬에서 통신이 불가능할 때 나오는 메시지다.</t>
    <phoneticPr fontId="10" type="noConversion"/>
  </si>
  <si>
    <t>&amp;문자</t>
    <phoneticPr fontId="10" type="noConversion"/>
  </si>
  <si>
    <t>투구</t>
    <phoneticPr fontId="10" type="noConversion"/>
  </si>
  <si>
    <t>&amp;증감치</t>
    <phoneticPr fontId="10" type="noConversion"/>
  </si>
  <si>
    <t>// 7레벨마다 스테이지가 변경되며 변경되는 스테이지에 맞춰서 큰폭으로 경험치가 오르게 된다.</t>
    <phoneticPr fontId="10" type="noConversion"/>
  </si>
  <si>
    <t>Num</t>
    <phoneticPr fontId="10" type="noConversion"/>
  </si>
  <si>
    <t>레벨</t>
    <phoneticPr fontId="10" type="noConversion"/>
  </si>
  <si>
    <t>Level</t>
    <phoneticPr fontId="10" type="noConversion"/>
  </si>
  <si>
    <t>String_Number</t>
    <phoneticPr fontId="10" type="noConversion"/>
  </si>
  <si>
    <t>접속 오류</t>
    <phoneticPr fontId="10" type="noConversion"/>
  </si>
  <si>
    <t>클라이언트 버전이 틀림</t>
    <phoneticPr fontId="10" type="noConversion"/>
  </si>
  <si>
    <t>PR</t>
    <phoneticPr fontId="10" type="noConversion"/>
  </si>
  <si>
    <t>서버 주소  :</t>
    <phoneticPr fontId="10" type="noConversion"/>
  </si>
  <si>
    <t>rcasio.iptime.org</t>
    <phoneticPr fontId="10" type="noConversion"/>
  </si>
  <si>
    <t>건강</t>
    <phoneticPr fontId="10" type="noConversion"/>
  </si>
  <si>
    <t>Strength</t>
    <phoneticPr fontId="10" type="noConversion"/>
  </si>
  <si>
    <t>Dexterity</t>
    <phoneticPr fontId="10" type="noConversion"/>
  </si>
  <si>
    <t>Constitution</t>
    <phoneticPr fontId="10" type="noConversion"/>
  </si>
  <si>
    <t>Intelligent</t>
    <phoneticPr fontId="10" type="noConversion"/>
  </si>
  <si>
    <t>VarChar(50)</t>
    <phoneticPr fontId="10" type="noConversion"/>
  </si>
  <si>
    <t>VarChar(20)</t>
    <phoneticPr fontId="10" type="noConversion"/>
  </si>
  <si>
    <t>VarChar(250)</t>
    <phoneticPr fontId="10" type="noConversion"/>
  </si>
  <si>
    <t>VarChar(30)</t>
    <phoneticPr fontId="10" type="noConversion"/>
  </si>
  <si>
    <t>VarChar(50)</t>
    <phoneticPr fontId="10" type="noConversion"/>
  </si>
  <si>
    <t>VarChar(15)</t>
    <phoneticPr fontId="10" type="noConversion"/>
  </si>
  <si>
    <t>MySQL 자료형</t>
    <phoneticPr fontId="10" type="noConversion"/>
  </si>
  <si>
    <t>// 서버 관련 클라이언트 오류 메시지( 서버 관련이지만 클라이언트에서만 처리되는 오류 메시지 입니다.)</t>
    <phoneticPr fontId="10" type="noConversion"/>
  </si>
  <si>
    <t>CT010</t>
    <phoneticPr fontId="10" type="noConversion"/>
  </si>
  <si>
    <t>접속단에서 5회 이상의 접속 요청이 생길 경우 (해킹 및 테이브 DB 다운로드 문제)</t>
    <phoneticPr fontId="10" type="noConversion"/>
  </si>
  <si>
    <t>로그인이 필요한 상황(자동 로그인이 안됨)</t>
    <phoneticPr fontId="10" type="noConversion"/>
  </si>
  <si>
    <t>현재 기기에서 100개 이상의 계정이 생성되었다.(계정 생성 불가)</t>
    <phoneticPr fontId="10" type="noConversion"/>
  </si>
  <si>
    <t>이미 가입된 회원</t>
    <phoneticPr fontId="10" type="noConversion"/>
  </si>
  <si>
    <t>회원 가입이 완료됨(자동으로 게임 지입)</t>
    <phoneticPr fontId="10" type="noConversion"/>
  </si>
  <si>
    <t>자동 로그인 허가가 떨어짐</t>
    <phoneticPr fontId="10" type="noConversion"/>
  </si>
  <si>
    <t>로그인 허락(로그인창에서 입력)</t>
    <phoneticPr fontId="10" type="noConversion"/>
  </si>
  <si>
    <t>패스워드가 틀림</t>
    <phoneticPr fontId="10" type="noConversion"/>
  </si>
  <si>
    <t>등록된 계정이 아님</t>
    <phoneticPr fontId="10" type="noConversion"/>
  </si>
  <si>
    <t>Code_Explain</t>
    <phoneticPr fontId="10" type="noConversion"/>
  </si>
  <si>
    <t>#코드 설명</t>
    <phoneticPr fontId="10" type="noConversion"/>
  </si>
  <si>
    <t>VarChar(200)</t>
    <phoneticPr fontId="10" type="noConversion"/>
  </si>
  <si>
    <t>테이블버전 및 바이너리 파일 사이즈가 틀릴 경우</t>
    <phoneticPr fontId="10" type="noConversion"/>
  </si>
  <si>
    <t>TIN010</t>
    <phoneticPr fontId="10" type="noConversion"/>
  </si>
  <si>
    <t>TIN020</t>
    <phoneticPr fontId="10" type="noConversion"/>
  </si>
  <si>
    <t>TIN030</t>
    <phoneticPr fontId="10" type="noConversion"/>
  </si>
  <si>
    <t>TIN040</t>
    <phoneticPr fontId="10" type="noConversion"/>
  </si>
  <si>
    <t>TIN050</t>
    <phoneticPr fontId="10" type="noConversion"/>
  </si>
  <si>
    <t>TCA010</t>
    <phoneticPr fontId="10" type="noConversion"/>
  </si>
  <si>
    <t>TCA020</t>
    <phoneticPr fontId="10" type="noConversion"/>
  </si>
  <si>
    <t>TCA030</t>
    <phoneticPr fontId="10" type="noConversion"/>
  </si>
  <si>
    <t>TLI010</t>
    <phoneticPr fontId="10" type="noConversion"/>
  </si>
  <si>
    <t>TLI020</t>
    <phoneticPr fontId="10" type="noConversion"/>
  </si>
  <si>
    <t>TLI030</t>
    <phoneticPr fontId="10" type="noConversion"/>
  </si>
  <si>
    <t>서버 IP :</t>
  </si>
  <si>
    <t>포트 :</t>
  </si>
  <si>
    <t>※ 생성된 파일들이 이동할 위치 ( 서버 IP에 IP주소가 입력되어 있지 않으면 서버와 통신하지 않는다.)</t>
    <phoneticPr fontId="10" type="noConversion"/>
  </si>
  <si>
    <t>Int</t>
    <phoneticPr fontId="10" type="noConversion"/>
  </si>
  <si>
    <t>드랍확률</t>
    <phoneticPr fontId="10" type="noConversion"/>
  </si>
  <si>
    <t>DropPosibility</t>
    <phoneticPr fontId="10" type="noConversion"/>
  </si>
  <si>
    <t>코볼트 일반아이템</t>
    <phoneticPr fontId="10" type="noConversion"/>
  </si>
  <si>
    <t>코볼트 세트 아이템</t>
    <phoneticPr fontId="10" type="noConversion"/>
  </si>
  <si>
    <t>코볼트 물약 및 스크롤</t>
    <phoneticPr fontId="10" type="noConversion"/>
  </si>
  <si>
    <t>코볼트 제작 아이템</t>
    <phoneticPr fontId="10" type="noConversion"/>
  </si>
  <si>
    <t>코볼트 스폐셜 아이템</t>
    <phoneticPr fontId="10" type="noConversion"/>
  </si>
  <si>
    <t>코볼트 스폐셜 세트</t>
    <phoneticPr fontId="10" type="noConversion"/>
  </si>
  <si>
    <t>테스트_01</t>
    <phoneticPr fontId="10" type="noConversion"/>
  </si>
  <si>
    <t>테스트_02</t>
    <phoneticPr fontId="10" type="noConversion"/>
  </si>
  <si>
    <t>테스트_03</t>
    <phoneticPr fontId="10" type="noConversion"/>
  </si>
  <si>
    <t>Food</t>
    <phoneticPr fontId="10" type="noConversion"/>
  </si>
  <si>
    <t>Soda</t>
    <phoneticPr fontId="10" type="noConversion"/>
  </si>
  <si>
    <t>// Wall 벽 200000 ~ 210000</t>
    <phoneticPr fontId="10" type="noConversion"/>
  </si>
  <si>
    <t>// 소모품 인덱스 1 ~ 100,000</t>
    <phoneticPr fontId="10" type="noConversion"/>
  </si>
  <si>
    <t>// 장비 : 투구 인덱스 100,001 ~ 200,000</t>
    <phoneticPr fontId="10" type="noConversion"/>
  </si>
  <si>
    <t>// 장비 : 상의 인덱스 200,001 ~ 300,000</t>
    <phoneticPr fontId="10" type="noConversion"/>
  </si>
  <si>
    <t>// 장비 : 하의 인덱스 300,001 ~ 400,000</t>
    <phoneticPr fontId="10" type="noConversion"/>
  </si>
  <si>
    <t>// 장비 : 장갑 인덱스 400,001 ~ 500,000</t>
    <phoneticPr fontId="10" type="noConversion"/>
  </si>
  <si>
    <t>// 장비 : 신발 인덱스 500,001 ~ 600,000</t>
    <phoneticPr fontId="10" type="noConversion"/>
  </si>
  <si>
    <t>// 장비 : 방패 인덱스 600,001 ~ 700,000</t>
    <phoneticPr fontId="10" type="noConversion"/>
  </si>
  <si>
    <t>// 장비 : 무기 인덱스 700,001 ~ 900,000</t>
    <phoneticPr fontId="10" type="noConversion"/>
  </si>
  <si>
    <t>// 장비 : 반지 인덱스 900,001 ~ 1000,000</t>
    <phoneticPr fontId="10" type="noConversion"/>
  </si>
  <si>
    <t>// 장비 : 팔찌 인덱스 1,000,001 ~ 1,010,000</t>
    <phoneticPr fontId="10" type="noConversion"/>
  </si>
  <si>
    <t>// 장비 : 목걸이 인덱스 1,100,001 ~ 1,200,000</t>
    <phoneticPr fontId="10" type="noConversion"/>
  </si>
  <si>
    <t>// 재료 인덱스 1,200,001 ~ 1,400,000</t>
    <phoneticPr fontId="10" type="noConversion"/>
  </si>
  <si>
    <t>// 퀘스트 아이템 인덱스 1,400,001 ~ 1,500,000</t>
    <phoneticPr fontId="10" type="noConversion"/>
  </si>
  <si>
    <t>// 카드 및 NPC 아이템 인덱스 1,500,001 ~ 2,500,000</t>
    <phoneticPr fontId="10" type="noConversion"/>
  </si>
  <si>
    <t>// Wall 2,000,000 ~ 2,100,000</t>
    <phoneticPr fontId="10" type="noConversion"/>
  </si>
  <si>
    <t>// 셋트 아이템 이름 인덱스 2,500,001 ~ 2,700,000</t>
    <phoneticPr fontId="10" type="noConversion"/>
  </si>
  <si>
    <t>// 2,700,001 ~ 3,000,000번까지는 아이템 툴팁을 사용하는 인덱스 번호가 된다.</t>
    <phoneticPr fontId="10" type="noConversion"/>
  </si>
  <si>
    <t>// 3,000,001 ~ 5,100,000번까지는 스킬 이름을 사용하는 인덱스 번호가 된다.</t>
    <phoneticPr fontId="10" type="noConversion"/>
  </si>
  <si>
    <t>일반 벽</t>
    <phoneticPr fontId="10" type="noConversion"/>
  </si>
  <si>
    <t>일반 깨지는 벽</t>
    <phoneticPr fontId="10" type="noConversion"/>
  </si>
  <si>
    <t>#NPC 프리팹이름</t>
    <phoneticPr fontId="10" type="noConversion"/>
  </si>
  <si>
    <t>최소골드</t>
    <phoneticPr fontId="10" type="noConversion"/>
  </si>
  <si>
    <t>최대골드</t>
    <phoneticPr fontId="10" type="noConversion"/>
  </si>
  <si>
    <t>MinGold</t>
    <phoneticPr fontId="10" type="noConversion"/>
  </si>
  <si>
    <t>MaxGold</t>
    <phoneticPr fontId="10" type="noConversion"/>
  </si>
  <si>
    <t>InWall_01_Breakable</t>
    <phoneticPr fontId="10" type="noConversion"/>
  </si>
  <si>
    <t>InWall_01_Unbreakable</t>
    <phoneticPr fontId="10" type="noConversion"/>
  </si>
  <si>
    <t>NPC_FileName</t>
    <phoneticPr fontId="10" type="noConversion"/>
  </si>
  <si>
    <t>NPC_Prefab</t>
    <phoneticPr fontId="10" type="noConversion"/>
  </si>
  <si>
    <t>코볼트 채집꾼</t>
  </si>
  <si>
    <t>코볼트 일꾼</t>
  </si>
  <si>
    <t>일반 벽</t>
  </si>
  <si>
    <t>일반 깨지는 벽</t>
  </si>
  <si>
    <t>set</t>
    <phoneticPr fontId="10" type="noConversion"/>
  </si>
  <si>
    <t>Float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</si>
  <si>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</si>
  <si>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</si>
  <si>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</si>
  <si>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</si>
  <si>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</si>
  <si>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</si>
  <si>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</si>
  <si>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</si>
  <si>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</si>
  <si>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39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</si>
  <si>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</si>
  <si>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</si>
  <si>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</si>
  <si>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자료형</t>
  </si>
  <si>
    <t>TagManamger 키</t>
  </si>
  <si>
    <t>값</t>
  </si>
  <si>
    <t>태그에 사용되는 주석</t>
  </si>
  <si>
    <t>Type</t>
  </si>
  <si>
    <t>Key</t>
  </si>
  <si>
    <t>Value</t>
  </si>
  <si>
    <t>Comment</t>
  </si>
  <si>
    <t>VarChar(50)</t>
  </si>
  <si>
    <t>TableVersion</t>
    <phoneticPr fontId="10" type="noConversion"/>
  </si>
  <si>
    <t>TestNum</t>
    <phoneticPr fontId="10" type="noConversion"/>
  </si>
  <si>
    <t>InitSkillPoint</t>
    <phoneticPr fontId="10" type="noConversion"/>
  </si>
  <si>
    <t>MobNormal</t>
    <phoneticPr fontId="10" type="noConversion"/>
  </si>
  <si>
    <t>MobNamed</t>
    <phoneticPr fontId="10" type="noConversion"/>
  </si>
  <si>
    <t>MobBoss</t>
    <phoneticPr fontId="10" type="noConversion"/>
  </si>
  <si>
    <t>notmal</t>
    <phoneticPr fontId="10" type="noConversion"/>
  </si>
  <si>
    <t>named</t>
    <phoneticPr fontId="10" type="noConversion"/>
  </si>
  <si>
    <t>boss</t>
    <phoneticPr fontId="10" type="noConversion"/>
  </si>
  <si>
    <t>// 크리스탈 비용</t>
    <phoneticPr fontId="10" type="noConversion"/>
  </si>
  <si>
    <t>crystalPrice</t>
    <phoneticPr fontId="10" type="noConversion"/>
  </si>
  <si>
    <t>골드대비 2배 크리스탈 비용</t>
    <phoneticPr fontId="10" type="noConversion"/>
  </si>
  <si>
    <t>Head</t>
    <phoneticPr fontId="10" type="noConversion"/>
  </si>
  <si>
    <t>방어구</t>
    <phoneticPr fontId="10" type="noConversion"/>
  </si>
  <si>
    <t>무기</t>
    <phoneticPr fontId="10" type="noConversion"/>
  </si>
  <si>
    <t>Shoulder</t>
    <phoneticPr fontId="10" type="noConversion"/>
  </si>
  <si>
    <t>Torso</t>
    <phoneticPr fontId="10" type="noConversion"/>
  </si>
  <si>
    <t>Wrists</t>
    <phoneticPr fontId="10" type="noConversion"/>
  </si>
  <si>
    <t>Hands</t>
    <phoneticPr fontId="10" type="noConversion"/>
  </si>
  <si>
    <t>Waist</t>
    <phoneticPr fontId="10" type="noConversion"/>
  </si>
  <si>
    <t>Legs</t>
    <phoneticPr fontId="10" type="noConversion"/>
  </si>
  <si>
    <t>Feet</t>
    <phoneticPr fontId="10" type="noConversion"/>
  </si>
  <si>
    <t>Jewelry</t>
    <phoneticPr fontId="10" type="noConversion"/>
  </si>
  <si>
    <t>Ranged</t>
    <phoneticPr fontId="10" type="noConversion"/>
  </si>
  <si>
    <t>Multilingual</t>
    <phoneticPr fontId="10" type="noConversion"/>
  </si>
  <si>
    <t>Tag</t>
    <phoneticPr fontId="10" type="noConversion"/>
  </si>
  <si>
    <t>종류</t>
    <phoneticPr fontId="10" type="noConversion"/>
  </si>
  <si>
    <t>Weapon</t>
    <phoneticPr fontId="10" type="noConversion"/>
  </si>
  <si>
    <t>Armor</t>
    <phoneticPr fontId="10" type="noConversion"/>
  </si>
  <si>
    <t>VarChar(50)</t>
    <phoneticPr fontId="10" type="noConversion"/>
  </si>
  <si>
    <t>아이템 타입</t>
    <phoneticPr fontId="10" type="noConversion"/>
  </si>
  <si>
    <t>ItemType</t>
    <phoneticPr fontId="10" type="noConversion"/>
  </si>
  <si>
    <t>Weapon</t>
  </si>
  <si>
    <t>Armor</t>
  </si>
  <si>
    <t>Etc</t>
    <phoneticPr fontId="10" type="noConversion"/>
  </si>
  <si>
    <t>OneHanded</t>
    <phoneticPr fontId="10" type="noConversion"/>
  </si>
  <si>
    <t>TwoHanded</t>
    <phoneticPr fontId="10" type="noConversion"/>
  </si>
  <si>
    <t>OffHand</t>
    <phoneticPr fontId="10" type="noConversion"/>
  </si>
  <si>
    <t>Sample</t>
    <phoneticPr fontId="10" type="noConversion"/>
  </si>
  <si>
    <t>자료형</t>
    <phoneticPr fontId="10" type="noConversion"/>
  </si>
  <si>
    <t>Type</t>
    <phoneticPr fontId="10" type="noConversion"/>
  </si>
  <si>
    <t>Item</t>
    <phoneticPr fontId="10" type="noConversion"/>
  </si>
  <si>
    <t>Weapon</t>
    <phoneticPr fontId="10" type="noConversion"/>
  </si>
  <si>
    <t>Armor</t>
    <phoneticPr fontId="10" type="noConversion"/>
  </si>
  <si>
    <t>// ※ 자료형은 고정적으로 있어야 합니다.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</si>
  <si>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</si>
  <si>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</si>
  <si>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</si>
  <si>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</si>
  <si>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BigInt</t>
    <phoneticPr fontId="10" type="noConversion"/>
  </si>
  <si>
    <t>Float</t>
    <phoneticPr fontId="10" type="noConversion"/>
  </si>
  <si>
    <t>Double</t>
    <phoneticPr fontId="10" type="noConversion"/>
  </si>
  <si>
    <t>Char(50)</t>
    <phoneticPr fontId="10" type="noConversion"/>
  </si>
  <si>
    <t>Char(100)</t>
    <phoneticPr fontId="10" type="noConversion"/>
  </si>
  <si>
    <t>Char(150)</t>
    <phoneticPr fontId="10" type="noConversion"/>
  </si>
  <si>
    <t>VarChar(50)</t>
    <phoneticPr fontId="10" type="noConversion"/>
  </si>
  <si>
    <t>VarChar(100)</t>
    <phoneticPr fontId="10" type="noConversion"/>
  </si>
  <si>
    <t>VarChar(150)</t>
    <phoneticPr fontId="10" type="noConversion"/>
  </si>
  <si>
    <t>// ※ 드롭다운 목록 만들기 https://support.office.com/ko-kr/article/%EB%93%9C%EB%A1%AD%EB%8B%A4%EC%9A%B4-%EB%AA%A9%EB%A1%9D-%EB%A7%8C%EB%93%A4%EA%B8%B0-7693307a-59ef-400a-b769-c5402dce407b</t>
    <phoneticPr fontId="10" type="noConversion"/>
  </si>
  <si>
    <t>// ※ 프로그램에서는 Char(50)은 Char50, VarChar(50)은 VarChar50으로 변환됩니다.</t>
    <phoneticPr fontId="10" type="noConversion"/>
  </si>
  <si>
    <t>&amp;종료 설정(마지막 Cell이 공백이면 다음 줄을 읽지 못합니다.)</t>
    <phoneticPr fontId="10" type="noConversion"/>
  </si>
  <si>
    <t>※ 클라이언트 ClientDB 저장경로일 경우 StreamingAssets 이어야 합니다.(유니티에서 사용될 때)</t>
    <phoneticPr fontId="10" type="noConversion"/>
  </si>
  <si>
    <t>StructStart</t>
  </si>
  <si>
    <t>StructEnd</t>
  </si>
  <si>
    <t>레벨 구조체</t>
    <phoneticPr fontId="10" type="noConversion"/>
  </si>
  <si>
    <t>50레벨 패널티</t>
    <phoneticPr fontId="10" type="noConversion"/>
  </si>
  <si>
    <t>100레벨 패널티</t>
    <phoneticPr fontId="10" type="noConversion"/>
  </si>
  <si>
    <t>LevelPenalty</t>
    <phoneticPr fontId="10" type="noConversion"/>
  </si>
  <si>
    <t>Level10</t>
    <phoneticPr fontId="10" type="noConversion"/>
  </si>
  <si>
    <t>Level20</t>
    <phoneticPr fontId="10" type="noConversion"/>
  </si>
  <si>
    <t>Level30</t>
    <phoneticPr fontId="10" type="noConversion"/>
  </si>
  <si>
    <t>Level50</t>
    <phoneticPr fontId="10" type="noConversion"/>
  </si>
  <si>
    <t>Level100</t>
    <phoneticPr fontId="10" type="noConversion"/>
  </si>
  <si>
    <t>StructStart</t>
    <phoneticPr fontId="10" type="noConversion"/>
  </si>
  <si>
    <t>StructEnd</t>
    <phoneticPr fontId="10" type="noConversion"/>
  </si>
  <si>
    <t>// ※ StructStart, StructEnd는 PR 테이블에서 사용되며 고조체의 시작과 끝을 나타냅니다.</t>
    <phoneticPr fontId="10" type="noConversion"/>
  </si>
  <si>
    <t>// 플레이어 속성</t>
    <phoneticPr fontId="10" type="noConversion"/>
  </si>
  <si>
    <t>PlayerProperty</t>
    <phoneticPr fontId="10" type="noConversion"/>
  </si>
  <si>
    <t>Lift</t>
    <phoneticPr fontId="10" type="noConversion"/>
  </si>
  <si>
    <t>Int</t>
    <phoneticPr fontId="10" type="noConversion"/>
  </si>
  <si>
    <t>생명력</t>
    <phoneticPr fontId="10" type="noConversion"/>
  </si>
  <si>
    <t>InvenCount</t>
    <phoneticPr fontId="10" type="noConversion"/>
  </si>
  <si>
    <t>인벤토리 용량</t>
    <phoneticPr fontId="10" type="noConversion"/>
  </si>
  <si>
    <t>10레벨 패널티</t>
    <phoneticPr fontId="10" type="noConversion"/>
  </si>
  <si>
    <t>20레벨 패널티</t>
    <phoneticPr fontId="10" type="noConversion"/>
  </si>
  <si>
    <t>30레벨 패널티</t>
    <phoneticPr fontId="10" type="noConversion"/>
  </si>
  <si>
    <t>Text 문서</t>
    <phoneticPr fontId="10" type="noConversion"/>
  </si>
  <si>
    <t>바이너리파일</t>
    <phoneticPr fontId="10" type="noConversion"/>
  </si>
  <si>
    <t>Json</t>
    <phoneticPr fontId="10" type="noConversion"/>
  </si>
  <si>
    <t>On</t>
    <phoneticPr fontId="10" type="noConversion"/>
  </si>
  <si>
    <t>On</t>
    <phoneticPr fontId="10" type="noConversion"/>
  </si>
  <si>
    <t>CSV</t>
    <phoneticPr fontId="10" type="noConversion"/>
  </si>
  <si>
    <t>XML</t>
    <phoneticPr fontId="10" type="noConversion"/>
  </si>
  <si>
    <t>TableClass 및 TableConverter 등 파일 저장경로 :</t>
    <phoneticPr fontId="10" type="noConversion"/>
  </si>
  <si>
    <t>클라이언트 ClientDB 저장경로 :</t>
    <phoneticPr fontId="10" type="noConversion"/>
  </si>
  <si>
    <t>서버 ClientDB 저장경로 :</t>
    <phoneticPr fontId="10" type="noConversion"/>
  </si>
  <si>
    <t>Sample</t>
    <phoneticPr fontId="10" type="noConversion"/>
  </si>
  <si>
    <t>필드 주석입니다. 서버와 클라이언트에서 필요한 파일로 포팅될 때 생략됩니다. (단 필드 주석은 1행에 정의되어야 합니다.)</t>
    <phoneticPr fontId="10" type="noConversion"/>
  </si>
  <si>
    <t>byte</t>
    <phoneticPr fontId="10" type="noConversion"/>
  </si>
  <si>
    <t>short</t>
    <phoneticPr fontId="10" type="noConversion"/>
  </si>
  <si>
    <t>int</t>
    <phoneticPr fontId="10" type="noConversion"/>
  </si>
  <si>
    <t>double</t>
    <phoneticPr fontId="10" type="noConversion"/>
  </si>
  <si>
    <t>string</t>
    <phoneticPr fontId="10" type="noConversion"/>
  </si>
  <si>
    <t>float</t>
    <phoneticPr fontId="10" type="noConversion"/>
  </si>
  <si>
    <t>long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</si>
  <si>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</si>
  <si>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</si>
  <si>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</si>
  <si>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</si>
  <si>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Float</t>
    <phoneticPr fontId="10" type="noConversion"/>
  </si>
  <si>
    <t>Double</t>
    <phoneticPr fontId="10" type="noConversion"/>
  </si>
  <si>
    <t>Bigint</t>
    <phoneticPr fontId="10" type="noConversion"/>
  </si>
  <si>
    <t>클라이언트 스레드01</t>
    <phoneticPr fontId="10" type="noConversion"/>
  </si>
  <si>
    <t>클라이언트 스레드02</t>
    <phoneticPr fontId="10" type="noConversion"/>
  </si>
  <si>
    <t>서버 스레드01</t>
    <phoneticPr fontId="10" type="noConversion"/>
  </si>
  <si>
    <t>서버 스레드02</t>
    <phoneticPr fontId="10" type="noConversion"/>
  </si>
  <si>
    <t>NPC</t>
    <phoneticPr fontId="10" type="noConversion"/>
  </si>
  <si>
    <t>Map</t>
    <phoneticPr fontId="10" type="noConversion"/>
  </si>
  <si>
    <t>Enchant</t>
  </si>
  <si>
    <t>※ 테이블을 데이터를 효율적으로 추출하기 위한 테이블 입니다.</t>
    <phoneticPr fontId="10" type="noConversion"/>
  </si>
  <si>
    <t>※ 테이블을 읽지 못하는 경우(행을 3개 이상 읽지 못학경우) 마지막 필드의 데이터를 채워야 합니다.</t>
    <phoneticPr fontId="10" type="noConversion"/>
  </si>
  <si>
    <t>다국어</t>
    <phoneticPr fontId="10" type="noConversion"/>
  </si>
  <si>
    <t>※ 다국어리스트에는 Multilingual 테이블 하나만 있어야 합니다.</t>
    <phoneticPr fontId="10" type="noConversion"/>
  </si>
  <si>
    <t>※ 주황색 테이블은 필수 테이블이며 변경되거나 삭제되어서는 안됩니다.</t>
    <phoneticPr fontId="10" type="noConversion"/>
  </si>
  <si>
    <t>VarChar</t>
    <phoneticPr fontId="10" type="noConversion"/>
  </si>
  <si>
    <t>무기</t>
    <phoneticPr fontId="10" type="noConversion"/>
  </si>
  <si>
    <t>Weapon</t>
    <phoneticPr fontId="10" type="noConversion"/>
  </si>
  <si>
    <t>OneHanded</t>
  </si>
  <si>
    <t>TwoHanded</t>
  </si>
  <si>
    <t>Ranged</t>
  </si>
  <si>
    <t>고속모드 :</t>
    <phoneticPr fontId="10" type="noConversion"/>
  </si>
  <si>
    <t>※ On/Off로 체크되며 고속모드일 경우 마크2가 텍스트를 출력하지 않습니다.</t>
    <phoneticPr fontId="10" type="noConversion"/>
  </si>
  <si>
    <t>※ 추출할 파일 형식 ( On/Off로 설정 붉은색은 지원예정 입니다.)</t>
    <phoneticPr fontId="10" type="noConversion"/>
  </si>
  <si>
    <t>Off</t>
    <phoneticPr fontId="10" type="noConversion"/>
  </si>
  <si>
    <t>Level110</t>
    <phoneticPr fontId="10" type="noConversion"/>
  </si>
  <si>
    <t>110레벨 패널티</t>
    <phoneticPr fontId="10" type="noConversion"/>
  </si>
  <si>
    <t>클라이언트 스레드03</t>
    <phoneticPr fontId="10" type="noConversion"/>
  </si>
  <si>
    <t>클라이언트 스레드04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</si>
</sst>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_(&quot;₩&quot;* #,##0_);_(&quot;₩&quot;* \(#,##0\);_(&quot;₩&quot;* &quot;-&quot;_);_(@_)"/>
    <numFmt numFmtId="177" formatCode="0.000_ "/>
    <numFmt numFmtId="178" formatCode="&quot;₩&quot;#,##0"/>
    <numFmt numFmtId="179" formatCode="0_ "/>
    <numFmt numFmtId="180" formatCode="0.000%"/>
  </numFmts>
  <fonts count="62">
    <font>
      <sz val="11"/>
      <color theme="1"/>
      <name val="맑은 고딕"/>
      <family val="2"/>
      <charset val="129"/>
      <scheme val="minor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0"/>
      <color theme="0" tint="-4.9989318521683403E-2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 tint="-4.9989318521683403E-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0" tint="-0.14999847407452621"/>
      <name val="맑은 고딕"/>
      <family val="2"/>
      <charset val="129"/>
      <scheme val="minor"/>
    </font>
    <font>
      <b/>
      <sz val="10"/>
      <color theme="0"/>
      <name val="맑은 고딕"/>
      <family val="2"/>
      <charset val="129"/>
      <scheme val="minor"/>
    </font>
    <font>
      <sz val="10"/>
      <color theme="0" tint="-0.14999847407452621"/>
      <name val="Dotum"/>
      <family val="3"/>
    </font>
    <font>
      <b/>
      <sz val="10"/>
      <color theme="0" tint="-0.14999847407452621"/>
      <name val="Dotum"/>
      <family val="3"/>
    </font>
    <font>
      <i/>
      <sz val="10"/>
      <color theme="0" tint="-0.14999847407452621"/>
      <name val="Dotum"/>
      <family val="3"/>
    </font>
    <font>
      <sz val="10"/>
      <name val="맑은 고딕"/>
      <family val="2"/>
      <charset val="129"/>
      <scheme val="minor"/>
    </font>
    <font>
      <sz val="10"/>
      <color rgb="FFFF0000"/>
      <name val="Dotum"/>
      <family val="3"/>
    </font>
    <font>
      <sz val="10"/>
      <color rgb="FFFF0000"/>
      <name val="Dotum"/>
      <family val="3"/>
      <charset val="129"/>
    </font>
    <font>
      <sz val="10"/>
      <color theme="0"/>
      <name val="맑은 고딕"/>
      <family val="3"/>
      <charset val="129"/>
      <scheme val="minor"/>
    </font>
    <font>
      <sz val="10"/>
      <color theme="9"/>
      <name val="맑은 고딕"/>
      <family val="3"/>
      <charset val="129"/>
      <scheme val="minor"/>
    </font>
    <font>
      <sz val="10"/>
      <color theme="4"/>
      <name val="맑은 고딕"/>
      <family val="2"/>
      <charset val="129"/>
      <scheme val="minor"/>
    </font>
    <font>
      <sz val="10"/>
      <color theme="4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rgb="FFFF0000"/>
      <name val="맑은 고딕"/>
      <family val="2"/>
      <charset val="129"/>
      <scheme val="minor"/>
    </font>
    <font>
      <b/>
      <sz val="10"/>
      <color rgb="FFFF0000"/>
      <name val="Dotum"/>
      <family val="3"/>
      <charset val="129"/>
    </font>
    <font>
      <i/>
      <sz val="10"/>
      <color rgb="FFFF0000"/>
      <name val="Dotum"/>
      <family val="3"/>
      <charset val="129"/>
    </font>
    <font>
      <sz val="10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sz val="10"/>
      <color theme="4"/>
      <name val="맑은 고딕"/>
      <family val="2"/>
      <charset val="129"/>
      <scheme val="major"/>
    </font>
    <font>
      <sz val="10"/>
      <color theme="0"/>
      <name val="맑은 고딕"/>
      <family val="3"/>
      <charset val="129"/>
      <scheme val="major"/>
    </font>
    <font>
      <sz val="8"/>
      <name val="굴림"/>
      <family val="2"/>
      <charset val="129"/>
    </font>
    <font>
      <sz val="10"/>
      <color rgb="FFFF0000"/>
      <name val="맑은 고딕"/>
      <family val="3"/>
      <charset val="129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sz val="10"/>
      <color rgb="FF92D050"/>
      <name val="맑은 고딕"/>
      <family val="2"/>
      <charset val="129"/>
      <scheme val="minor"/>
    </font>
    <font>
      <sz val="10"/>
      <color rgb="FF92D050"/>
      <name val="맑은 고딕"/>
      <family val="3"/>
      <charset val="129"/>
      <scheme val="minor"/>
    </font>
    <font>
      <sz val="10"/>
      <color rgb="FF00B050"/>
      <name val="맑은 고딕"/>
      <family val="2"/>
      <charset val="129"/>
      <scheme val="minor"/>
    </font>
    <font>
      <sz val="10"/>
      <color rgb="FF00B050"/>
      <name val="맑은 고딕"/>
      <family val="3"/>
      <charset val="129"/>
      <scheme val="minor"/>
    </font>
    <font>
      <sz val="10"/>
      <color theme="9"/>
      <name val="맑은 고딕"/>
      <family val="2"/>
      <charset val="129"/>
      <scheme val="minor"/>
    </font>
    <font>
      <sz val="10"/>
      <color theme="0" tint="-0.499984740745262"/>
      <name val="맑은 고딕"/>
      <family val="2"/>
      <charset val="129"/>
      <scheme val="minor"/>
    </font>
    <font>
      <sz val="10"/>
      <color theme="0" tint="-0.499984740745262"/>
      <name val="맑은 고딕"/>
      <family val="3"/>
      <charset val="129"/>
      <scheme val="minor"/>
    </font>
    <font>
      <sz val="11"/>
      <color theme="0" tint="-0.499984740745262"/>
      <name val="맑은 고딕"/>
      <family val="2"/>
      <charset val="129"/>
      <scheme val="minor"/>
    </font>
    <font>
      <sz val="11"/>
      <color theme="0" tint="-0.499984740745262"/>
      <name val="맑은 고딕"/>
      <family val="3"/>
      <charset val="129"/>
      <scheme val="minor"/>
    </font>
    <font>
      <sz val="10"/>
      <color rgb="FFFAFFE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2"/>
      <color rgb="FF9876AA"/>
      <name val="굴림체"/>
      <family val="3"/>
      <charset val="129"/>
    </font>
    <font>
      <b/>
      <sz val="10"/>
      <color theme="0" tint="-4.9989318521683403E-2"/>
      <name val="맑은 고딕"/>
      <family val="3"/>
      <charset val="129"/>
      <scheme val="minor"/>
    </font>
    <font>
      <sz val="10"/>
      <color theme="3" tint="0.59999389629810485"/>
      <name val="맑은 고딕"/>
      <family val="3"/>
      <charset val="129"/>
      <scheme val="minor"/>
    </font>
    <font>
      <sz val="10"/>
      <color theme="9" tint="-0.249977111117893"/>
      <name val="맑은 고딕"/>
      <family val="3"/>
      <charset val="129"/>
      <scheme val="minor"/>
    </font>
    <font>
      <sz val="10"/>
      <color rgb="FFFFC000"/>
      <name val="맑은 고딕"/>
      <family val="2"/>
      <charset val="129"/>
      <scheme val="minor"/>
    </font>
    <font>
      <sz val="10"/>
      <color rgb="FFFFC000"/>
      <name val="맑은 고딕"/>
      <family val="3"/>
      <charset val="129"/>
      <scheme val="minor"/>
    </font>
    <font>
      <sz val="9"/>
      <color theme="0" tint="-0.499984740745262"/>
      <name val="맑은 고딕"/>
      <family val="3"/>
      <charset val="129"/>
      <scheme val="minor"/>
    </font>
    <font>
      <b/>
      <sz val="11"/>
      <color rgb="FFFFFF00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A5A5A5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</fills>
  <borders count="47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/>
      <bottom style="thin">
        <color theme="0"/>
      </bottom>
      <diagonal/>
    </border>
    <border>
      <left/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</borders>
  <cellStyleXfs count="156">
    <xf numFmtId="0" fontId="0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9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34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269">
    <xf numFmtId="0" fontId="0" fillId="0" borderId="0" xfId="0">
      <alignment vertical="center"/>
    </xf>
    <xf numFmtId="177" fontId="15" fillId="0" borderId="0" xfId="0" applyNumberFormat="1" applyFont="1" applyFill="1">
      <alignment vertical="center"/>
    </xf>
    <xf numFmtId="0" fontId="16" fillId="2" borderId="1" xfId="0" applyFont="1" applyFill="1" applyBorder="1">
      <alignment vertical="center"/>
    </xf>
    <xf numFmtId="0" fontId="16" fillId="2" borderId="0" xfId="0" applyFont="1" applyFill="1">
      <alignment vertical="center"/>
    </xf>
    <xf numFmtId="177" fontId="16" fillId="2" borderId="1" xfId="0" applyNumberFormat="1" applyFont="1" applyFill="1" applyBorder="1">
      <alignment vertical="center"/>
    </xf>
    <xf numFmtId="0" fontId="17" fillId="4" borderId="14" xfId="1" applyFont="1">
      <alignment vertical="center"/>
    </xf>
    <xf numFmtId="0" fontId="16" fillId="3" borderId="0" xfId="0" applyFont="1" applyFill="1">
      <alignment vertical="center"/>
    </xf>
    <xf numFmtId="9" fontId="16" fillId="2" borderId="1" xfId="0" applyNumberFormat="1" applyFont="1" applyFill="1" applyBorder="1">
      <alignment vertical="center"/>
    </xf>
    <xf numFmtId="0" fontId="18" fillId="2" borderId="4" xfId="0" applyFont="1" applyFill="1" applyBorder="1" applyAlignment="1">
      <alignment vertical="center" wrapText="1"/>
    </xf>
    <xf numFmtId="9" fontId="13" fillId="0" borderId="0" xfId="0" applyNumberFormat="1" applyFont="1">
      <alignment vertical="center"/>
    </xf>
    <xf numFmtId="0" fontId="22" fillId="2" borderId="4" xfId="0" applyFont="1" applyFill="1" applyBorder="1" applyAlignment="1">
      <alignment vertical="center" wrapText="1"/>
    </xf>
    <xf numFmtId="0" fontId="24" fillId="6" borderId="0" xfId="0" applyFont="1" applyFill="1">
      <alignment vertical="center"/>
    </xf>
    <xf numFmtId="0" fontId="12" fillId="2" borderId="0" xfId="0" applyFont="1" applyFill="1">
      <alignment vertical="center"/>
    </xf>
    <xf numFmtId="0" fontId="25" fillId="2" borderId="0" xfId="0" applyFont="1" applyFill="1">
      <alignment vertical="center"/>
    </xf>
    <xf numFmtId="0" fontId="12" fillId="3" borderId="0" xfId="0" quotePrefix="1" applyNumberFormat="1" applyFont="1" applyFill="1">
      <alignment vertical="center"/>
    </xf>
    <xf numFmtId="9" fontId="27" fillId="0" borderId="0" xfId="0" applyNumberFormat="1" applyFont="1">
      <alignment vertical="center"/>
    </xf>
    <xf numFmtId="0" fontId="28" fillId="2" borderId="0" xfId="0" applyFont="1" applyFill="1">
      <alignment vertical="center"/>
    </xf>
    <xf numFmtId="0" fontId="28" fillId="2" borderId="0" xfId="0" applyFont="1" applyFill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  <xf numFmtId="0" fontId="28" fillId="2" borderId="21" xfId="0" applyFont="1" applyFill="1" applyBorder="1" applyAlignment="1">
      <alignment horizontal="center" vertical="center"/>
    </xf>
    <xf numFmtId="0" fontId="28" fillId="2" borderId="20" xfId="0" applyFont="1" applyFill="1" applyBorder="1" applyAlignment="1">
      <alignment horizontal="center" vertical="center"/>
    </xf>
    <xf numFmtId="0" fontId="28" fillId="2" borderId="22" xfId="0" applyFont="1" applyFill="1" applyBorder="1" applyAlignment="1">
      <alignment horizontal="center" vertical="center"/>
    </xf>
    <xf numFmtId="0" fontId="28" fillId="2" borderId="27" xfId="0" applyFont="1" applyFill="1" applyBorder="1" applyAlignment="1">
      <alignment horizontal="center" vertical="center"/>
    </xf>
    <xf numFmtId="0" fontId="28" fillId="2" borderId="28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14" fontId="28" fillId="2" borderId="31" xfId="0" applyNumberFormat="1" applyFont="1" applyFill="1" applyBorder="1" applyAlignment="1">
      <alignment horizontal="center" vertical="center"/>
    </xf>
    <xf numFmtId="0" fontId="28" fillId="2" borderId="32" xfId="0" applyFont="1" applyFill="1" applyBorder="1">
      <alignment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6" xfId="0" applyFont="1" applyFill="1" applyBorder="1">
      <alignment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176" fontId="16" fillId="2" borderId="35" xfId="0" applyNumberFormat="1" applyFont="1" applyFill="1" applyBorder="1">
      <alignment vertical="center"/>
    </xf>
    <xf numFmtId="0" fontId="22" fillId="2" borderId="5" xfId="0" applyFont="1" applyFill="1" applyBorder="1" applyAlignment="1">
      <alignment vertical="center" wrapText="1"/>
    </xf>
    <xf numFmtId="176" fontId="29" fillId="2" borderId="35" xfId="0" applyNumberFormat="1" applyFont="1" applyFill="1" applyBorder="1">
      <alignment vertical="center"/>
    </xf>
    <xf numFmtId="14" fontId="28" fillId="2" borderId="33" xfId="0" applyNumberFormat="1" applyFont="1" applyFill="1" applyBorder="1" applyAlignment="1">
      <alignment horizontal="center" vertical="center"/>
    </xf>
    <xf numFmtId="179" fontId="12" fillId="3" borderId="0" xfId="0" applyNumberFormat="1" applyFont="1" applyFill="1" applyAlignment="1">
      <alignment vertical="center"/>
    </xf>
    <xf numFmtId="179" fontId="14" fillId="6" borderId="0" xfId="0" applyNumberFormat="1" applyFont="1" applyFill="1" applyAlignment="1">
      <alignment vertical="center"/>
    </xf>
    <xf numFmtId="10" fontId="26" fillId="3" borderId="0" xfId="0" applyNumberFormat="1" applyFont="1" applyFill="1">
      <alignment vertical="center"/>
    </xf>
    <xf numFmtId="10" fontId="27" fillId="5" borderId="0" xfId="0" applyNumberFormat="1" applyFont="1" applyFill="1">
      <alignment vertical="center"/>
    </xf>
    <xf numFmtId="10" fontId="27" fillId="0" borderId="0" xfId="0" applyNumberFormat="1" applyFo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0" xfId="0" applyFont="1" applyFill="1">
      <alignment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12" fillId="2" borderId="15" xfId="0" applyFont="1" applyFill="1" applyBorder="1" applyAlignment="1">
      <alignment horizontal="center" vertical="center"/>
    </xf>
    <xf numFmtId="179" fontId="26" fillId="3" borderId="0" xfId="0" applyNumberFormat="1" applyFont="1" applyFill="1" applyAlignment="1">
      <alignment vertical="center"/>
    </xf>
    <xf numFmtId="179" fontId="13" fillId="0" borderId="0" xfId="0" applyNumberFormat="1" applyFont="1" applyAlignment="1">
      <alignment vertical="center"/>
    </xf>
    <xf numFmtId="179" fontId="27" fillId="6" borderId="0" xfId="0" applyNumberFormat="1" applyFont="1" applyFill="1" applyAlignment="1">
      <alignment vertical="center"/>
    </xf>
    <xf numFmtId="179" fontId="27" fillId="0" borderId="0" xfId="0" applyNumberFormat="1" applyFont="1" applyAlignme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178" fontId="14" fillId="2" borderId="1" xfId="0" applyNumberFormat="1" applyFont="1" applyFill="1" applyBorder="1" applyAlignment="1">
      <alignment horizontal="center" vertical="center"/>
    </xf>
    <xf numFmtId="0" fontId="32" fillId="0" borderId="0" xfId="0" applyFont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15" xfId="0" applyFont="1" applyFill="1" applyBorder="1">
      <alignment vertical="center"/>
    </xf>
    <xf numFmtId="0" fontId="35" fillId="11" borderId="15" xfId="0" applyFont="1" applyFill="1" applyBorder="1" applyAlignment="1">
      <alignment horizontal="center" vertical="center"/>
    </xf>
    <xf numFmtId="0" fontId="21" fillId="9" borderId="43" xfId="0" applyFont="1" applyFill="1" applyBorder="1">
      <alignment vertical="center"/>
    </xf>
    <xf numFmtId="0" fontId="15" fillId="9" borderId="15" xfId="0" applyFont="1" applyFill="1" applyBorder="1">
      <alignment vertical="center"/>
    </xf>
    <xf numFmtId="0" fontId="28" fillId="2" borderId="43" xfId="0" applyFont="1" applyFill="1" applyBorder="1">
      <alignment vertical="center"/>
    </xf>
    <xf numFmtId="0" fontId="28" fillId="2" borderId="44" xfId="0" applyFont="1" applyFill="1" applyBorder="1">
      <alignment vertical="center"/>
    </xf>
    <xf numFmtId="0" fontId="21" fillId="12" borderId="43" xfId="0" applyFont="1" applyFill="1" applyBorder="1">
      <alignment vertical="center"/>
    </xf>
    <xf numFmtId="0" fontId="15" fillId="12" borderId="15" xfId="0" applyFont="1" applyFill="1" applyBorder="1">
      <alignment vertical="center"/>
    </xf>
    <xf numFmtId="0" fontId="15" fillId="12" borderId="43" xfId="0" applyFont="1" applyFill="1" applyBorder="1">
      <alignment vertical="center"/>
    </xf>
    <xf numFmtId="0" fontId="24" fillId="2" borderId="15" xfId="0" applyFont="1" applyFill="1" applyBorder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1" fillId="9" borderId="15" xfId="0" applyFont="1" applyFill="1" applyBorder="1">
      <alignment vertical="center"/>
    </xf>
    <xf numFmtId="0" fontId="15" fillId="0" borderId="0" xfId="0" applyFont="1">
      <alignment vertical="center"/>
    </xf>
    <xf numFmtId="0" fontId="28" fillId="3" borderId="0" xfId="0" applyFont="1" applyFill="1">
      <alignment vertical="center"/>
    </xf>
    <xf numFmtId="0" fontId="24" fillId="3" borderId="0" xfId="0" applyFont="1" applyFill="1">
      <alignment vertical="center"/>
    </xf>
    <xf numFmtId="0" fontId="15" fillId="5" borderId="0" xfId="0" applyFont="1" applyFill="1">
      <alignment vertical="center"/>
    </xf>
    <xf numFmtId="0" fontId="21" fillId="5" borderId="0" xfId="0" applyFont="1" applyFill="1">
      <alignment vertical="center"/>
    </xf>
    <xf numFmtId="0" fontId="26" fillId="5" borderId="0" xfId="0" applyFont="1" applyFill="1">
      <alignment vertical="center"/>
    </xf>
    <xf numFmtId="0" fontId="26" fillId="0" borderId="0" xfId="0" applyFont="1">
      <alignment vertical="center"/>
    </xf>
    <xf numFmtId="0" fontId="21" fillId="0" borderId="0" xfId="0" applyFont="1">
      <alignment vertical="center"/>
    </xf>
    <xf numFmtId="0" fontId="35" fillId="9" borderId="0" xfId="0" quotePrefix="1" applyFont="1" applyFill="1">
      <alignment vertical="center"/>
    </xf>
    <xf numFmtId="0" fontId="35" fillId="9" borderId="0" xfId="0" applyFont="1" applyFill="1">
      <alignment vertical="center"/>
    </xf>
    <xf numFmtId="0" fontId="27" fillId="9" borderId="0" xfId="0" applyFont="1" applyFill="1">
      <alignment vertical="center"/>
    </xf>
    <xf numFmtId="0" fontId="26" fillId="3" borderId="0" xfId="0" applyFont="1" applyFill="1">
      <alignment vertical="center"/>
    </xf>
    <xf numFmtId="0" fontId="27" fillId="5" borderId="0" xfId="0" applyFont="1" applyFill="1">
      <alignment vertical="center"/>
    </xf>
    <xf numFmtId="0" fontId="27" fillId="0" borderId="0" xfId="0" applyFont="1" applyFill="1">
      <alignment vertical="center"/>
    </xf>
    <xf numFmtId="0" fontId="15" fillId="0" borderId="0" xfId="0" applyFont="1" applyFill="1">
      <alignment vertical="center"/>
    </xf>
    <xf numFmtId="0" fontId="13" fillId="5" borderId="0" xfId="0" quotePrefix="1" applyFont="1" applyFill="1">
      <alignment vertical="center"/>
    </xf>
    <xf numFmtId="0" fontId="13" fillId="0" borderId="0" xfId="0" applyFont="1" applyAlignment="1"/>
    <xf numFmtId="0" fontId="13" fillId="9" borderId="0" xfId="0" applyFont="1" applyFill="1">
      <alignment vertical="center"/>
    </xf>
    <xf numFmtId="0" fontId="27" fillId="0" borderId="0" xfId="0" applyFont="1">
      <alignment vertical="center"/>
    </xf>
    <xf numFmtId="0" fontId="12" fillId="3" borderId="0" xfId="0" applyFont="1" applyFill="1">
      <alignment vertical="center"/>
    </xf>
    <xf numFmtId="0" fontId="13" fillId="0" borderId="0" xfId="0" applyFont="1">
      <alignment vertical="center"/>
    </xf>
    <xf numFmtId="0" fontId="13" fillId="0" borderId="0" xfId="0" applyFont="1" applyFill="1">
      <alignment vertical="center"/>
    </xf>
    <xf numFmtId="0" fontId="13" fillId="5" borderId="0" xfId="0" applyFont="1" applyFill="1">
      <alignment vertical="center"/>
    </xf>
    <xf numFmtId="0" fontId="29" fillId="7" borderId="0" xfId="0" applyFont="1" applyFill="1">
      <alignment vertical="center"/>
    </xf>
    <xf numFmtId="0" fontId="40" fillId="7" borderId="0" xfId="0" applyFont="1" applyFill="1">
      <alignment vertical="center"/>
    </xf>
    <xf numFmtId="9" fontId="26" fillId="3" borderId="0" xfId="0" applyNumberFormat="1" applyFont="1" applyFill="1">
      <alignment vertical="center"/>
    </xf>
    <xf numFmtId="0" fontId="32" fillId="3" borderId="0" xfId="0" applyFont="1" applyFill="1">
      <alignment vertical="center"/>
    </xf>
    <xf numFmtId="0" fontId="24" fillId="9" borderId="0" xfId="0" applyFont="1" applyFill="1">
      <alignment vertical="center"/>
    </xf>
    <xf numFmtId="0" fontId="38" fillId="3" borderId="0" xfId="0" applyFont="1" applyFill="1">
      <alignment vertical="center"/>
    </xf>
    <xf numFmtId="0" fontId="41" fillId="0" borderId="0" xfId="0" applyFont="1" applyFill="1">
      <alignment vertical="center"/>
    </xf>
    <xf numFmtId="0" fontId="42" fillId="0" borderId="0" xfId="0" applyFont="1" applyFill="1">
      <alignment vertical="center"/>
    </xf>
    <xf numFmtId="0" fontId="14" fillId="3" borderId="0" xfId="0" applyFont="1" applyFill="1">
      <alignment vertical="center"/>
    </xf>
    <xf numFmtId="0" fontId="27" fillId="3" borderId="0" xfId="0" applyFont="1" applyFill="1">
      <alignment vertical="center"/>
    </xf>
    <xf numFmtId="0" fontId="27" fillId="0" borderId="0" xfId="0" applyFont="1" applyAlignment="1"/>
    <xf numFmtId="0" fontId="36" fillId="0" borderId="0" xfId="88" applyFont="1">
      <alignment vertical="center"/>
    </xf>
    <xf numFmtId="0" fontId="36" fillId="0" borderId="0" xfId="89" applyFont="1">
      <alignment vertical="center"/>
    </xf>
    <xf numFmtId="0" fontId="36" fillId="9" borderId="0" xfId="88" applyFont="1" applyFill="1">
      <alignment vertical="center"/>
    </xf>
    <xf numFmtId="0" fontId="37" fillId="0" borderId="0" xfId="90" applyFont="1">
      <alignment vertical="center"/>
    </xf>
    <xf numFmtId="0" fontId="36" fillId="0" borderId="0" xfId="90" applyFont="1">
      <alignment vertical="center"/>
    </xf>
    <xf numFmtId="0" fontId="36" fillId="0" borderId="0" xfId="88" applyFont="1" applyFill="1">
      <alignment vertical="center"/>
    </xf>
    <xf numFmtId="0" fontId="18" fillId="2" borderId="4" xfId="0" applyFont="1" applyFill="1" applyBorder="1" applyAlignment="1">
      <alignment horizontal="center" vertical="center" wrapText="1"/>
    </xf>
    <xf numFmtId="9" fontId="16" fillId="2" borderId="0" xfId="0" applyNumberFormat="1" applyFont="1" applyFill="1" applyBorder="1">
      <alignment vertical="center"/>
    </xf>
    <xf numFmtId="9" fontId="16" fillId="2" borderId="0" xfId="0" applyNumberFormat="1" applyFont="1" applyFill="1" applyBorder="1" applyAlignment="1">
      <alignment horizontal="left" vertical="center"/>
    </xf>
    <xf numFmtId="0" fontId="0" fillId="2" borderId="0" xfId="0" applyFill="1">
      <alignment vertical="center"/>
    </xf>
    <xf numFmtId="0" fontId="16" fillId="2" borderId="15" xfId="0" applyFont="1" applyFill="1" applyBorder="1" applyAlignment="1">
      <alignment horizontal="center" vertical="center"/>
    </xf>
    <xf numFmtId="0" fontId="43" fillId="3" borderId="0" xfId="0" applyFont="1" applyFill="1">
      <alignment vertical="center"/>
    </xf>
    <xf numFmtId="0" fontId="44" fillId="5" borderId="0" xfId="0" applyFont="1" applyFill="1">
      <alignment vertical="center"/>
    </xf>
    <xf numFmtId="0" fontId="44" fillId="0" borderId="0" xfId="0" applyFont="1">
      <alignment vertical="center"/>
    </xf>
    <xf numFmtId="0" fontId="45" fillId="3" borderId="0" xfId="0" applyFont="1" applyFill="1">
      <alignment vertical="center"/>
    </xf>
    <xf numFmtId="0" fontId="46" fillId="7" borderId="0" xfId="0" applyFont="1" applyFill="1">
      <alignment vertical="center"/>
    </xf>
    <xf numFmtId="0" fontId="46" fillId="5" borderId="0" xfId="0" applyFont="1" applyFill="1">
      <alignment vertical="center"/>
    </xf>
    <xf numFmtId="0" fontId="46" fillId="0" borderId="0" xfId="0" applyFont="1">
      <alignment vertical="center"/>
    </xf>
    <xf numFmtId="9" fontId="46" fillId="0" borderId="0" xfId="0" applyNumberFormat="1" applyFont="1">
      <alignment vertical="center"/>
    </xf>
    <xf numFmtId="10" fontId="46" fillId="0" borderId="0" xfId="0" applyNumberFormat="1" applyFont="1">
      <alignment vertical="center"/>
    </xf>
    <xf numFmtId="180" fontId="46" fillId="0" borderId="0" xfId="0" applyNumberFormat="1" applyFont="1">
      <alignment vertical="center"/>
    </xf>
    <xf numFmtId="0" fontId="47" fillId="3" borderId="0" xfId="0" applyFont="1" applyFill="1">
      <alignment vertical="center"/>
    </xf>
    <xf numFmtId="0" fontId="25" fillId="5" borderId="0" xfId="0" applyFont="1" applyFill="1">
      <alignment vertical="center"/>
    </xf>
    <xf numFmtId="0" fontId="25" fillId="0" borderId="0" xfId="0" applyFont="1">
      <alignment vertical="center"/>
    </xf>
    <xf numFmtId="0" fontId="33" fillId="2" borderId="0" xfId="2" applyFill="1">
      <alignment vertical="center"/>
    </xf>
    <xf numFmtId="0" fontId="48" fillId="2" borderId="0" xfId="0" applyFont="1" applyFill="1">
      <alignment vertical="center"/>
    </xf>
    <xf numFmtId="0" fontId="49" fillId="2" borderId="0" xfId="0" applyFont="1" applyFill="1">
      <alignment vertical="center"/>
    </xf>
    <xf numFmtId="179" fontId="51" fillId="2" borderId="0" xfId="2" applyNumberFormat="1" applyFont="1" applyFill="1" applyBorder="1">
      <alignment vertical="center"/>
    </xf>
    <xf numFmtId="0" fontId="51" fillId="2" borderId="0" xfId="2" applyFont="1" applyFill="1">
      <alignment vertical="center"/>
    </xf>
    <xf numFmtId="179" fontId="50" fillId="2" borderId="0" xfId="2" applyNumberFormat="1" applyFont="1" applyFill="1" applyBorder="1" applyAlignment="1">
      <alignment horizontal="right" vertical="center"/>
    </xf>
    <xf numFmtId="0" fontId="54" fillId="0" borderId="0" xfId="0" applyFont="1">
      <alignment vertical="center"/>
    </xf>
    <xf numFmtId="12" fontId="16" fillId="2" borderId="44" xfId="0" applyNumberFormat="1" applyFont="1" applyFill="1" applyBorder="1">
      <alignment vertical="center"/>
    </xf>
    <xf numFmtId="12" fontId="49" fillId="2" borderId="44" xfId="0" applyNumberFormat="1" applyFont="1" applyFill="1" applyBorder="1" applyAlignment="1">
      <alignment horizontal="left" vertical="center"/>
    </xf>
    <xf numFmtId="12" fontId="49" fillId="2" borderId="46" xfId="0" applyNumberFormat="1" applyFont="1" applyFill="1" applyBorder="1">
      <alignment vertical="center"/>
    </xf>
    <xf numFmtId="12" fontId="16" fillId="2" borderId="43" xfId="0" applyNumberFormat="1" applyFont="1" applyFill="1" applyBorder="1">
      <alignment vertical="center"/>
    </xf>
    <xf numFmtId="0" fontId="33" fillId="2" borderId="0" xfId="0" applyFont="1" applyFill="1" applyBorder="1" applyAlignment="1">
      <alignment horizontal="right" vertical="center"/>
    </xf>
    <xf numFmtId="0" fontId="53" fillId="2" borderId="0" xfId="0" applyFont="1" applyFill="1" applyBorder="1">
      <alignment vertical="center"/>
    </xf>
    <xf numFmtId="0" fontId="52" fillId="2" borderId="0" xfId="0" applyFont="1" applyFill="1" applyBorder="1">
      <alignment vertical="center"/>
    </xf>
    <xf numFmtId="12" fontId="33" fillId="2" borderId="45" xfId="0" applyNumberFormat="1" applyFont="1" applyFill="1" applyBorder="1" applyAlignment="1">
      <alignment horizontal="right" vertical="center"/>
    </xf>
    <xf numFmtId="12" fontId="53" fillId="2" borderId="44" xfId="0" applyNumberFormat="1" applyFont="1" applyFill="1" applyBorder="1">
      <alignment vertical="center"/>
    </xf>
    <xf numFmtId="12" fontId="53" fillId="2" borderId="44" xfId="0" applyNumberFormat="1" applyFont="1" applyFill="1" applyBorder="1" applyAlignment="1">
      <alignment horizontal="left" vertical="center"/>
    </xf>
    <xf numFmtId="0" fontId="12" fillId="3" borderId="0" xfId="0" applyFont="1" applyFill="1" applyAlignment="1">
      <alignment vertical="center" wrapText="1"/>
    </xf>
    <xf numFmtId="0" fontId="26" fillId="3" borderId="0" xfId="0" applyFont="1" applyFill="1" applyAlignment="1">
      <alignment vertical="center" wrapText="1"/>
    </xf>
    <xf numFmtId="178" fontId="55" fillId="2" borderId="1" xfId="0" applyNumberFormat="1" applyFont="1" applyFill="1" applyBorder="1" applyAlignment="1">
      <alignment horizontal="center" vertical="center"/>
    </xf>
    <xf numFmtId="0" fontId="13" fillId="3" borderId="0" xfId="0" applyFont="1" applyFill="1">
      <alignment vertical="center"/>
    </xf>
    <xf numFmtId="0" fontId="15" fillId="0" borderId="0" xfId="0" applyFont="1" applyAlignment="1">
      <alignment vertical="center" wrapText="1"/>
    </xf>
    <xf numFmtId="0" fontId="12" fillId="13" borderId="0" xfId="0" applyFont="1" applyFill="1">
      <alignment vertical="center"/>
    </xf>
    <xf numFmtId="0" fontId="13" fillId="13" borderId="0" xfId="0" applyFont="1" applyFill="1">
      <alignment vertical="center"/>
    </xf>
    <xf numFmtId="178" fontId="25" fillId="2" borderId="1" xfId="0" applyNumberFormat="1" applyFont="1" applyFill="1" applyBorder="1" applyAlignment="1">
      <alignment horizontal="center" vertical="center"/>
    </xf>
    <xf numFmtId="0" fontId="56" fillId="3" borderId="0" xfId="0" applyFont="1" applyFill="1">
      <alignment vertical="center"/>
    </xf>
    <xf numFmtId="0" fontId="56" fillId="13" borderId="0" xfId="0" applyFont="1" applyFill="1">
      <alignment vertical="center"/>
    </xf>
    <xf numFmtId="0" fontId="56" fillId="0" borderId="0" xfId="0" applyFont="1">
      <alignment vertical="center"/>
    </xf>
    <xf numFmtId="0" fontId="57" fillId="13" borderId="0" xfId="0" applyFont="1" applyFill="1">
      <alignment vertical="center"/>
    </xf>
    <xf numFmtId="0" fontId="57" fillId="0" borderId="0" xfId="0" applyFont="1">
      <alignment vertical="center"/>
    </xf>
    <xf numFmtId="0" fontId="58" fillId="3" borderId="0" xfId="0" applyFont="1" applyFill="1">
      <alignment vertical="center"/>
    </xf>
    <xf numFmtId="0" fontId="59" fillId="3" borderId="0" xfId="0" applyFont="1" applyFill="1">
      <alignment vertical="center"/>
    </xf>
    <xf numFmtId="0" fontId="13" fillId="14" borderId="0" xfId="0" applyFont="1" applyFill="1">
      <alignment vertical="center"/>
    </xf>
    <xf numFmtId="0" fontId="15" fillId="14" borderId="0" xfId="0" applyFont="1" applyFill="1" applyAlignment="1">
      <alignment vertical="center" wrapText="1"/>
    </xf>
    <xf numFmtId="0" fontId="15" fillId="14" borderId="0" xfId="0" applyFont="1" applyFill="1">
      <alignment vertical="center"/>
    </xf>
    <xf numFmtId="0" fontId="56" fillId="14" borderId="0" xfId="0" applyFont="1" applyFill="1">
      <alignment vertical="center"/>
    </xf>
    <xf numFmtId="9" fontId="16" fillId="2" borderId="15" xfId="0" applyNumberFormat="1" applyFont="1" applyFill="1" applyBorder="1" applyAlignment="1">
      <alignment horizontal="left" vertical="center"/>
    </xf>
    <xf numFmtId="9" fontId="29" fillId="2" borderId="15" xfId="0" applyNumberFormat="1" applyFont="1" applyFill="1" applyBorder="1" applyAlignment="1">
      <alignment horizontal="left" vertical="center"/>
    </xf>
    <xf numFmtId="9" fontId="40" fillId="2" borderId="15" xfId="0" applyNumberFormat="1" applyFont="1" applyFill="1" applyBorder="1" applyAlignment="1">
      <alignment horizontal="left" vertical="center"/>
    </xf>
    <xf numFmtId="9" fontId="29" fillId="2" borderId="0" xfId="0" applyNumberFormat="1" applyFont="1" applyFill="1" applyBorder="1" applyAlignment="1">
      <alignment horizontal="left" vertical="center"/>
    </xf>
    <xf numFmtId="9" fontId="40" fillId="2" borderId="0" xfId="0" applyNumberFormat="1" applyFont="1" applyFill="1" applyBorder="1" applyAlignment="1">
      <alignment horizontal="left" vertical="center"/>
    </xf>
    <xf numFmtId="178" fontId="25" fillId="15" borderId="1" xfId="0" applyNumberFormat="1" applyFont="1" applyFill="1" applyBorder="1" applyAlignment="1">
      <alignment horizontal="center" vertical="center"/>
    </xf>
    <xf numFmtId="178" fontId="14" fillId="15" borderId="1" xfId="0" applyNumberFormat="1" applyFont="1" applyFill="1" applyBorder="1" applyAlignment="1">
      <alignment horizontal="center" vertical="center"/>
    </xf>
    <xf numFmtId="178" fontId="55" fillId="15" borderId="1" xfId="0" applyNumberFormat="1" applyFont="1" applyFill="1" applyBorder="1" applyAlignment="1">
      <alignment horizontal="center" vertical="center"/>
    </xf>
    <xf numFmtId="0" fontId="53" fillId="2" borderId="0" xfId="2" applyFont="1" applyFill="1" applyBorder="1">
      <alignment vertical="center"/>
    </xf>
    <xf numFmtId="0" fontId="24" fillId="2" borderId="0" xfId="0" applyFont="1" applyFill="1">
      <alignment vertical="center"/>
    </xf>
    <xf numFmtId="0" fontId="60" fillId="2" borderId="0" xfId="2" applyFont="1" applyFill="1" applyBorder="1" applyAlignment="1"/>
    <xf numFmtId="179" fontId="61" fillId="2" borderId="0" xfId="2" applyNumberFormat="1" applyFont="1" applyFill="1" applyBorder="1" applyAlignment="1">
      <alignment horizontal="right" vertical="center"/>
    </xf>
    <xf numFmtId="179" fontId="61" fillId="6" borderId="0" xfId="2" applyNumberFormat="1" applyFont="1" applyFill="1" applyBorder="1">
      <alignment vertical="center"/>
    </xf>
    <xf numFmtId="0" fontId="18" fillId="2" borderId="10" xfId="0" applyFont="1" applyFill="1" applyBorder="1" applyAlignment="1">
      <alignment horizontal="center" vertical="center" wrapText="1"/>
    </xf>
    <xf numFmtId="0" fontId="18" fillId="2" borderId="3" xfId="0" applyFont="1" applyFill="1" applyBorder="1" applyAlignment="1">
      <alignment horizontal="center" vertical="center" wrapText="1"/>
    </xf>
    <xf numFmtId="0" fontId="18" fillId="2" borderId="11" xfId="0" applyFont="1" applyFill="1" applyBorder="1" applyAlignment="1">
      <alignment horizontal="center" vertical="center" wrapText="1"/>
    </xf>
    <xf numFmtId="0" fontId="16" fillId="2" borderId="12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23" fillId="2" borderId="5" xfId="0" applyFont="1" applyFill="1" applyBorder="1" applyAlignment="1">
      <alignment horizontal="center" vertical="center" wrapText="1"/>
    </xf>
    <xf numFmtId="0" fontId="23" fillId="2" borderId="6" xfId="0" applyFont="1" applyFill="1" applyBorder="1" applyAlignment="1">
      <alignment horizontal="center" vertical="center" wrapText="1"/>
    </xf>
    <xf numFmtId="0" fontId="23" fillId="2" borderId="7" xfId="0" applyFont="1" applyFill="1" applyBorder="1" applyAlignment="1">
      <alignment horizontal="center" vertical="center" wrapText="1"/>
    </xf>
    <xf numFmtId="0" fontId="18" fillId="2" borderId="5" xfId="0" applyFont="1" applyFill="1" applyBorder="1" applyAlignment="1">
      <alignment horizontal="center" vertical="center" wrapText="1"/>
    </xf>
    <xf numFmtId="0" fontId="18" fillId="2" borderId="6" xfId="0" applyFont="1" applyFill="1" applyBorder="1" applyAlignment="1">
      <alignment horizontal="center" vertical="center" wrapText="1"/>
    </xf>
    <xf numFmtId="0" fontId="18" fillId="2" borderId="7" xfId="0" applyFont="1" applyFill="1" applyBorder="1" applyAlignment="1">
      <alignment horizontal="center" vertical="center" wrapText="1"/>
    </xf>
    <xf numFmtId="0" fontId="18" fillId="2" borderId="4" xfId="0" applyFont="1" applyFill="1" applyBorder="1" applyAlignment="1">
      <alignment vertical="center" wrapText="1"/>
    </xf>
    <xf numFmtId="0" fontId="18" fillId="2" borderId="4" xfId="0" applyFont="1" applyFill="1" applyBorder="1" applyAlignment="1">
      <alignment horizontal="center" vertical="center" wrapText="1"/>
    </xf>
    <xf numFmtId="9" fontId="16" fillId="2" borderId="2" xfId="0" applyNumberFormat="1" applyFont="1" applyFill="1" applyBorder="1" applyAlignment="1">
      <alignment horizontal="left" vertical="center"/>
    </xf>
    <xf numFmtId="9" fontId="16" fillId="2" borderId="8" xfId="0" applyNumberFormat="1" applyFont="1" applyFill="1" applyBorder="1" applyAlignment="1">
      <alignment horizontal="left" vertical="center"/>
    </xf>
    <xf numFmtId="9" fontId="16" fillId="2" borderId="9" xfId="0" applyNumberFormat="1" applyFont="1" applyFill="1" applyBorder="1" applyAlignment="1">
      <alignment horizontal="left" vertical="center"/>
    </xf>
    <xf numFmtId="0" fontId="30" fillId="2" borderId="5" xfId="0" applyFont="1" applyFill="1" applyBorder="1" applyAlignment="1">
      <alignment horizontal="center" vertical="center" wrapText="1"/>
    </xf>
    <xf numFmtId="0" fontId="30" fillId="2" borderId="6" xfId="0" applyFont="1" applyFill="1" applyBorder="1" applyAlignment="1">
      <alignment horizontal="center" vertical="center" wrapText="1"/>
    </xf>
    <xf numFmtId="0" fontId="30" fillId="2" borderId="7" xfId="0" applyFont="1" applyFill="1" applyBorder="1" applyAlignment="1">
      <alignment horizontal="center" vertical="center" wrapText="1"/>
    </xf>
    <xf numFmtId="0" fontId="19" fillId="2" borderId="5" xfId="0" applyFont="1" applyFill="1" applyBorder="1" applyAlignment="1">
      <alignment horizontal="center" vertical="center" wrapText="1"/>
    </xf>
    <xf numFmtId="0" fontId="19" fillId="2" borderId="6" xfId="0" applyFont="1" applyFill="1" applyBorder="1" applyAlignment="1">
      <alignment horizontal="center" vertical="center" wrapText="1"/>
    </xf>
    <xf numFmtId="0" fontId="19" fillId="2" borderId="7" xfId="0" applyFont="1" applyFill="1" applyBorder="1" applyAlignment="1">
      <alignment horizontal="center" vertical="center" wrapText="1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0" fontId="22" fillId="2" borderId="5" xfId="0" applyFont="1" applyFill="1" applyBorder="1" applyAlignment="1">
      <alignment horizontal="center" vertical="center" wrapText="1"/>
    </xf>
    <xf numFmtId="0" fontId="22" fillId="2" borderId="6" xfId="0" applyFont="1" applyFill="1" applyBorder="1" applyAlignment="1">
      <alignment horizontal="center" vertical="center" wrapText="1"/>
    </xf>
    <xf numFmtId="0" fontId="22" fillId="2" borderId="7" xfId="0" applyFont="1" applyFill="1" applyBorder="1" applyAlignment="1">
      <alignment horizontal="center" vertical="center" wrapText="1"/>
    </xf>
    <xf numFmtId="0" fontId="23" fillId="2" borderId="4" xfId="0" applyFont="1" applyFill="1" applyBorder="1" applyAlignment="1">
      <alignment vertical="center" wrapText="1"/>
    </xf>
    <xf numFmtId="176" fontId="16" fillId="2" borderId="36" xfId="0" applyNumberFormat="1" applyFont="1" applyFill="1" applyBorder="1" applyAlignment="1">
      <alignment horizontal="left" vertical="center"/>
    </xf>
    <xf numFmtId="176" fontId="16" fillId="2" borderId="37" xfId="0" applyNumberFormat="1" applyFont="1" applyFill="1" applyBorder="1" applyAlignment="1">
      <alignment horizontal="left" vertical="center"/>
    </xf>
    <xf numFmtId="176" fontId="16" fillId="2" borderId="38" xfId="0" applyNumberFormat="1" applyFont="1" applyFill="1" applyBorder="1" applyAlignment="1">
      <alignment horizontal="left" vertical="center"/>
    </xf>
    <xf numFmtId="176" fontId="16" fillId="2" borderId="39" xfId="0" applyNumberFormat="1" applyFont="1" applyFill="1" applyBorder="1" applyAlignment="1">
      <alignment horizontal="left" vertical="center"/>
    </xf>
    <xf numFmtId="176" fontId="16" fillId="2" borderId="40" xfId="0" applyNumberFormat="1" applyFont="1" applyFill="1" applyBorder="1" applyAlignment="1">
      <alignment horizontal="left" vertical="center"/>
    </xf>
    <xf numFmtId="9" fontId="16" fillId="2" borderId="1" xfId="0" applyNumberFormat="1" applyFont="1" applyFill="1" applyBorder="1" applyAlignment="1">
      <alignment horizontal="left" vertical="center"/>
    </xf>
    <xf numFmtId="0" fontId="28" fillId="2" borderId="17" xfId="0" applyFont="1" applyFill="1" applyBorder="1" applyAlignment="1">
      <alignment horizontal="center" vertical="center"/>
    </xf>
    <xf numFmtId="0" fontId="28" fillId="2" borderId="19" xfId="0" applyFont="1" applyFill="1" applyBorder="1" applyAlignment="1">
      <alignment horizontal="center" vertical="center"/>
    </xf>
    <xf numFmtId="0" fontId="28" fillId="2" borderId="18" xfId="0" applyFont="1" applyFill="1" applyBorder="1" applyAlignment="1">
      <alignment horizontal="center"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5" xfId="0" applyFont="1" applyFill="1" applyBorder="1" applyAlignment="1">
      <alignment horizontal="center" vertical="center"/>
    </xf>
    <xf numFmtId="0" fontId="28" fillId="2" borderId="26" xfId="0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41" xfId="0" applyFont="1" applyFill="1" applyBorder="1" applyAlignment="1">
      <alignment horizontal="center" vertical="center"/>
    </xf>
    <xf numFmtId="0" fontId="28" fillId="2" borderId="42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</cellXfs>
  <cellStyles count="156">
    <cellStyle name="강조색1" xfId="2" builtinId="29"/>
    <cellStyle name="강조색1 2" xfId="6" xr:uid="{00000000-0005-0000-0000-000001000000}"/>
    <cellStyle name="강조색1 3" xfId="11" xr:uid="{00000000-0005-0000-0000-000002000000}"/>
    <cellStyle name="강조색1 4" xfId="16" xr:uid="{00000000-0005-0000-0000-000003000000}"/>
    <cellStyle name="강조색1 5" xfId="44" xr:uid="{00000000-0005-0000-0000-000004000000}"/>
    <cellStyle name="강조색1 6" xfId="68" xr:uid="{00000000-0005-0000-0000-000005000000}"/>
    <cellStyle name="셀 확인" xfId="1" builtinId="23"/>
    <cellStyle name="셀 확인 2" xfId="5" xr:uid="{00000000-0005-0000-0000-000007000000}"/>
    <cellStyle name="셀 확인 3" xfId="10" xr:uid="{00000000-0005-0000-0000-000008000000}"/>
    <cellStyle name="셀 확인 4" xfId="15" xr:uid="{00000000-0005-0000-0000-000009000000}"/>
    <cellStyle name="셀 확인 5" xfId="45" xr:uid="{00000000-0005-0000-0000-00000A000000}"/>
    <cellStyle name="셀 확인 6" xfId="69" xr:uid="{00000000-0005-0000-0000-00000B000000}"/>
    <cellStyle name="표준" xfId="0" builtinId="0"/>
    <cellStyle name="표준 10" xfId="67" xr:uid="{00000000-0005-0000-0000-00000D000000}"/>
    <cellStyle name="표준 10 2" xfId="70" xr:uid="{00000000-0005-0000-0000-00000E000000}"/>
    <cellStyle name="표준 10 2 2" xfId="138" xr:uid="{00000000-0005-0000-0000-00000F000000}"/>
    <cellStyle name="표준 10 3" xfId="88" xr:uid="{00000000-0005-0000-0000-000010000000}"/>
    <cellStyle name="표준 11" xfId="73" xr:uid="{00000000-0005-0000-0000-000011000000}"/>
    <cellStyle name="표준 11 2" xfId="141" xr:uid="{00000000-0005-0000-0000-000012000000}"/>
    <cellStyle name="표준 2" xfId="4" xr:uid="{00000000-0005-0000-0000-000013000000}"/>
    <cellStyle name="표준 3" xfId="3" xr:uid="{00000000-0005-0000-0000-000014000000}"/>
    <cellStyle name="표준 3 2" xfId="12" xr:uid="{00000000-0005-0000-0000-000015000000}"/>
    <cellStyle name="표준 3 2 2" xfId="19" xr:uid="{00000000-0005-0000-0000-000016000000}"/>
    <cellStyle name="표준 3 2 2 2" xfId="26" xr:uid="{00000000-0005-0000-0000-000017000000}"/>
    <cellStyle name="표준 3 2 2 2 2" xfId="47" xr:uid="{00000000-0005-0000-0000-000018000000}"/>
    <cellStyle name="표준 3 2 2 2 2 2" xfId="119" xr:uid="{00000000-0005-0000-0000-000019000000}"/>
    <cellStyle name="표준 3 2 2 2 3" xfId="62" xr:uid="{00000000-0005-0000-0000-00001A000000}"/>
    <cellStyle name="표준 3 2 2 2 3 2" xfId="133" xr:uid="{00000000-0005-0000-0000-00001B000000}"/>
    <cellStyle name="표준 3 2 2 2 4" xfId="74" xr:uid="{00000000-0005-0000-0000-00001C000000}"/>
    <cellStyle name="표준 3 2 2 2 4 2" xfId="142" xr:uid="{00000000-0005-0000-0000-00001D000000}"/>
    <cellStyle name="표준 3 2 2 2 5" xfId="102" xr:uid="{00000000-0005-0000-0000-00001E000000}"/>
    <cellStyle name="표준 3 2 2 3" xfId="33" xr:uid="{00000000-0005-0000-0000-00001F000000}"/>
    <cellStyle name="표준 3 2 2 3 2" xfId="109" xr:uid="{00000000-0005-0000-0000-000020000000}"/>
    <cellStyle name="표준 3 2 2 4" xfId="40" xr:uid="{00000000-0005-0000-0000-000021000000}"/>
    <cellStyle name="표준 3 2 2 4 2" xfId="116" xr:uid="{00000000-0005-0000-0000-000022000000}"/>
    <cellStyle name="표준 3 2 2 5" xfId="58" xr:uid="{00000000-0005-0000-0000-000023000000}"/>
    <cellStyle name="표준 3 2 2 5 2" xfId="130" xr:uid="{00000000-0005-0000-0000-000024000000}"/>
    <cellStyle name="표준 3 2 2 6" xfId="72" xr:uid="{00000000-0005-0000-0000-000025000000}"/>
    <cellStyle name="표준 3 2 2 6 2" xfId="140" xr:uid="{00000000-0005-0000-0000-000026000000}"/>
    <cellStyle name="표준 3 2 2 7" xfId="90" xr:uid="{00000000-0005-0000-0000-000027000000}"/>
    <cellStyle name="표준 3 2 3" xfId="22" xr:uid="{00000000-0005-0000-0000-000028000000}"/>
    <cellStyle name="표준 3 2 3 2" xfId="46" xr:uid="{00000000-0005-0000-0000-000029000000}"/>
    <cellStyle name="표준 3 2 3 2 2" xfId="118" xr:uid="{00000000-0005-0000-0000-00002A000000}"/>
    <cellStyle name="표준 3 2 3 3" xfId="61" xr:uid="{00000000-0005-0000-0000-00002B000000}"/>
    <cellStyle name="표준 3 2 3 3 2" xfId="132" xr:uid="{00000000-0005-0000-0000-00002C000000}"/>
    <cellStyle name="표준 3 2 3 4" xfId="75" xr:uid="{00000000-0005-0000-0000-00002D000000}"/>
    <cellStyle name="표준 3 2 3 4 2" xfId="143" xr:uid="{00000000-0005-0000-0000-00002E000000}"/>
    <cellStyle name="표준 3 2 3 5" xfId="98" xr:uid="{00000000-0005-0000-0000-00002F000000}"/>
    <cellStyle name="표준 3 2 4" xfId="29" xr:uid="{00000000-0005-0000-0000-000030000000}"/>
    <cellStyle name="표준 3 2 4 2" xfId="105" xr:uid="{00000000-0005-0000-0000-000031000000}"/>
    <cellStyle name="표준 3 2 5" xfId="36" xr:uid="{00000000-0005-0000-0000-000032000000}"/>
    <cellStyle name="표준 3 2 5 2" xfId="112" xr:uid="{00000000-0005-0000-0000-000033000000}"/>
    <cellStyle name="표준 3 2 6" xfId="54" xr:uid="{00000000-0005-0000-0000-000034000000}"/>
    <cellStyle name="표준 3 2 6 2" xfId="126" xr:uid="{00000000-0005-0000-0000-000035000000}"/>
    <cellStyle name="표준 3 2 7" xfId="76" xr:uid="{00000000-0005-0000-0000-000036000000}"/>
    <cellStyle name="표준 3 2 7 2" xfId="144" xr:uid="{00000000-0005-0000-0000-000037000000}"/>
    <cellStyle name="표준 3 3" xfId="17" xr:uid="{00000000-0005-0000-0000-000038000000}"/>
    <cellStyle name="표준 3 3 2" xfId="24" xr:uid="{00000000-0005-0000-0000-000039000000}"/>
    <cellStyle name="표준 3 3 2 2" xfId="48" xr:uid="{00000000-0005-0000-0000-00003A000000}"/>
    <cellStyle name="표준 3 3 2 2 2" xfId="120" xr:uid="{00000000-0005-0000-0000-00003B000000}"/>
    <cellStyle name="표준 3 3 2 3" xfId="63" xr:uid="{00000000-0005-0000-0000-00003C000000}"/>
    <cellStyle name="표준 3 3 2 3 2" xfId="134" xr:uid="{00000000-0005-0000-0000-00003D000000}"/>
    <cellStyle name="표준 3 3 2 4" xfId="77" xr:uid="{00000000-0005-0000-0000-00003E000000}"/>
    <cellStyle name="표준 3 3 2 4 2" xfId="145" xr:uid="{00000000-0005-0000-0000-00003F000000}"/>
    <cellStyle name="표준 3 3 2 5" xfId="100" xr:uid="{00000000-0005-0000-0000-000040000000}"/>
    <cellStyle name="표준 3 3 3" xfId="31" xr:uid="{00000000-0005-0000-0000-000041000000}"/>
    <cellStyle name="표준 3 3 3 2" xfId="107" xr:uid="{00000000-0005-0000-0000-000042000000}"/>
    <cellStyle name="표준 3 3 4" xfId="38" xr:uid="{00000000-0005-0000-0000-000043000000}"/>
    <cellStyle name="표준 3 3 4 2" xfId="114" xr:uid="{00000000-0005-0000-0000-000044000000}"/>
    <cellStyle name="표준 3 3 5" xfId="56" xr:uid="{00000000-0005-0000-0000-000045000000}"/>
    <cellStyle name="표준 3 3 5 2" xfId="128" xr:uid="{00000000-0005-0000-0000-000046000000}"/>
    <cellStyle name="표준 3 3 6" xfId="78" xr:uid="{00000000-0005-0000-0000-000047000000}"/>
    <cellStyle name="표준 3 3 6 2" xfId="146" xr:uid="{00000000-0005-0000-0000-000048000000}"/>
    <cellStyle name="표준 3 3 7" xfId="94" xr:uid="{00000000-0005-0000-0000-000049000000}"/>
    <cellStyle name="표준 3 4" xfId="7" xr:uid="{00000000-0005-0000-0000-00004A000000}"/>
    <cellStyle name="표준 3 4 2" xfId="42" xr:uid="{00000000-0005-0000-0000-00004B000000}"/>
    <cellStyle name="표준 3 4 2 2" xfId="117" xr:uid="{00000000-0005-0000-0000-00004C000000}"/>
    <cellStyle name="표준 3 4 3" xfId="60" xr:uid="{00000000-0005-0000-0000-00004D000000}"/>
    <cellStyle name="표준 3 4 3 2" xfId="131" xr:uid="{00000000-0005-0000-0000-00004E000000}"/>
    <cellStyle name="표준 3 4 4" xfId="79" xr:uid="{00000000-0005-0000-0000-00004F000000}"/>
    <cellStyle name="표준 3 4 4 2" xfId="147" xr:uid="{00000000-0005-0000-0000-000050000000}"/>
    <cellStyle name="표준 3 4 5" xfId="91" xr:uid="{00000000-0005-0000-0000-000051000000}"/>
    <cellStyle name="표준 3 5" xfId="20" xr:uid="{00000000-0005-0000-0000-000052000000}"/>
    <cellStyle name="표준 3 5 2" xfId="96" xr:uid="{00000000-0005-0000-0000-000053000000}"/>
    <cellStyle name="표준 3 6" xfId="27" xr:uid="{00000000-0005-0000-0000-000054000000}"/>
    <cellStyle name="표준 3 6 2" xfId="103" xr:uid="{00000000-0005-0000-0000-000055000000}"/>
    <cellStyle name="표준 3 7" xfId="34" xr:uid="{00000000-0005-0000-0000-000056000000}"/>
    <cellStyle name="표준 3 7 2" xfId="110" xr:uid="{00000000-0005-0000-0000-000057000000}"/>
    <cellStyle name="표준 3 8" xfId="52" xr:uid="{00000000-0005-0000-0000-000058000000}"/>
    <cellStyle name="표준 3 8 2" xfId="124" xr:uid="{00000000-0005-0000-0000-000059000000}"/>
    <cellStyle name="표준 3 9" xfId="80" xr:uid="{00000000-0005-0000-0000-00005A000000}"/>
    <cellStyle name="표준 3 9 2" xfId="148" xr:uid="{00000000-0005-0000-0000-00005B000000}"/>
    <cellStyle name="표준 4" xfId="9" xr:uid="{00000000-0005-0000-0000-00005C000000}"/>
    <cellStyle name="표준 5" xfId="8" xr:uid="{00000000-0005-0000-0000-00005D000000}"/>
    <cellStyle name="표준 5 2" xfId="18" xr:uid="{00000000-0005-0000-0000-00005E000000}"/>
    <cellStyle name="표준 5 2 2" xfId="25" xr:uid="{00000000-0005-0000-0000-00005F000000}"/>
    <cellStyle name="표준 5 2 2 2" xfId="50" xr:uid="{00000000-0005-0000-0000-000060000000}"/>
    <cellStyle name="표준 5 2 2 2 2" xfId="122" xr:uid="{00000000-0005-0000-0000-000061000000}"/>
    <cellStyle name="표준 5 2 2 3" xfId="65" xr:uid="{00000000-0005-0000-0000-000062000000}"/>
    <cellStyle name="표준 5 2 2 3 2" xfId="136" xr:uid="{00000000-0005-0000-0000-000063000000}"/>
    <cellStyle name="표준 5 2 2 4" xfId="81" xr:uid="{00000000-0005-0000-0000-000064000000}"/>
    <cellStyle name="표준 5 2 2 4 2" xfId="149" xr:uid="{00000000-0005-0000-0000-000065000000}"/>
    <cellStyle name="표준 5 2 2 5" xfId="101" xr:uid="{00000000-0005-0000-0000-000066000000}"/>
    <cellStyle name="표준 5 2 3" xfId="32" xr:uid="{00000000-0005-0000-0000-000067000000}"/>
    <cellStyle name="표준 5 2 3 2" xfId="108" xr:uid="{00000000-0005-0000-0000-000068000000}"/>
    <cellStyle name="표준 5 2 4" xfId="39" xr:uid="{00000000-0005-0000-0000-000069000000}"/>
    <cellStyle name="표준 5 2 4 2" xfId="115" xr:uid="{00000000-0005-0000-0000-00006A000000}"/>
    <cellStyle name="표준 5 2 5" xfId="57" xr:uid="{00000000-0005-0000-0000-00006B000000}"/>
    <cellStyle name="표준 5 2 5 2" xfId="129" xr:uid="{00000000-0005-0000-0000-00006C000000}"/>
    <cellStyle name="표준 5 2 6" xfId="82" xr:uid="{00000000-0005-0000-0000-00006D000000}"/>
    <cellStyle name="표준 5 2 6 2" xfId="150" xr:uid="{00000000-0005-0000-0000-00006E000000}"/>
    <cellStyle name="표준 5 2 7" xfId="95" xr:uid="{00000000-0005-0000-0000-00006F000000}"/>
    <cellStyle name="표준 5 3" xfId="21" xr:uid="{00000000-0005-0000-0000-000070000000}"/>
    <cellStyle name="표준 5 3 2" xfId="49" xr:uid="{00000000-0005-0000-0000-000071000000}"/>
    <cellStyle name="표준 5 3 2 2" xfId="121" xr:uid="{00000000-0005-0000-0000-000072000000}"/>
    <cellStyle name="표준 5 3 3" xfId="64" xr:uid="{00000000-0005-0000-0000-000073000000}"/>
    <cellStyle name="표준 5 3 3 2" xfId="135" xr:uid="{00000000-0005-0000-0000-000074000000}"/>
    <cellStyle name="표준 5 3 4" xfId="83" xr:uid="{00000000-0005-0000-0000-000075000000}"/>
    <cellStyle name="표준 5 3 4 2" xfId="151" xr:uid="{00000000-0005-0000-0000-000076000000}"/>
    <cellStyle name="표준 5 3 5" xfId="97" xr:uid="{00000000-0005-0000-0000-000077000000}"/>
    <cellStyle name="표준 5 4" xfId="28" xr:uid="{00000000-0005-0000-0000-000078000000}"/>
    <cellStyle name="표준 5 4 2" xfId="104" xr:uid="{00000000-0005-0000-0000-000079000000}"/>
    <cellStyle name="표준 5 5" xfId="35" xr:uid="{00000000-0005-0000-0000-00007A000000}"/>
    <cellStyle name="표준 5 5 2" xfId="111" xr:uid="{00000000-0005-0000-0000-00007B000000}"/>
    <cellStyle name="표준 5 6" xfId="53" xr:uid="{00000000-0005-0000-0000-00007C000000}"/>
    <cellStyle name="표준 5 6 2" xfId="125" xr:uid="{00000000-0005-0000-0000-00007D000000}"/>
    <cellStyle name="표준 5 7" xfId="84" xr:uid="{00000000-0005-0000-0000-00007E000000}"/>
    <cellStyle name="표준 5 7 2" xfId="152" xr:uid="{00000000-0005-0000-0000-00007F000000}"/>
    <cellStyle name="표준 5 8" xfId="92" xr:uid="{00000000-0005-0000-0000-000080000000}"/>
    <cellStyle name="표준 6" xfId="14" xr:uid="{00000000-0005-0000-0000-000081000000}"/>
    <cellStyle name="표준 7" xfId="13" xr:uid="{00000000-0005-0000-0000-000082000000}"/>
    <cellStyle name="표준 7 2" xfId="23" xr:uid="{00000000-0005-0000-0000-000083000000}"/>
    <cellStyle name="표준 7 2 2" xfId="51" xr:uid="{00000000-0005-0000-0000-000084000000}"/>
    <cellStyle name="표준 7 2 2 2" xfId="123" xr:uid="{00000000-0005-0000-0000-000085000000}"/>
    <cellStyle name="표준 7 2 3" xfId="66" xr:uid="{00000000-0005-0000-0000-000086000000}"/>
    <cellStyle name="표준 7 2 3 2" xfId="137" xr:uid="{00000000-0005-0000-0000-000087000000}"/>
    <cellStyle name="표준 7 2 4" xfId="85" xr:uid="{00000000-0005-0000-0000-000088000000}"/>
    <cellStyle name="표준 7 2 4 2" xfId="153" xr:uid="{00000000-0005-0000-0000-000089000000}"/>
    <cellStyle name="표준 7 2 5" xfId="99" xr:uid="{00000000-0005-0000-0000-00008A000000}"/>
    <cellStyle name="표준 7 3" xfId="30" xr:uid="{00000000-0005-0000-0000-00008B000000}"/>
    <cellStyle name="표준 7 3 2" xfId="106" xr:uid="{00000000-0005-0000-0000-00008C000000}"/>
    <cellStyle name="표준 7 4" xfId="37" xr:uid="{00000000-0005-0000-0000-00008D000000}"/>
    <cellStyle name="표준 7 4 2" xfId="113" xr:uid="{00000000-0005-0000-0000-00008E000000}"/>
    <cellStyle name="표준 7 5" xfId="55" xr:uid="{00000000-0005-0000-0000-00008F000000}"/>
    <cellStyle name="표준 7 5 2" xfId="127" xr:uid="{00000000-0005-0000-0000-000090000000}"/>
    <cellStyle name="표준 7 6" xfId="86" xr:uid="{00000000-0005-0000-0000-000091000000}"/>
    <cellStyle name="표준 7 6 2" xfId="154" xr:uid="{00000000-0005-0000-0000-000092000000}"/>
    <cellStyle name="표준 7 7" xfId="93" xr:uid="{00000000-0005-0000-0000-000093000000}"/>
    <cellStyle name="표준 8" xfId="43" xr:uid="{00000000-0005-0000-0000-000094000000}"/>
    <cellStyle name="표준 9" xfId="41" xr:uid="{00000000-0005-0000-0000-000095000000}"/>
    <cellStyle name="표준 9 2" xfId="59" xr:uid="{00000000-0005-0000-0000-000096000000}"/>
    <cellStyle name="표준 9 2 2" xfId="71" xr:uid="{00000000-0005-0000-0000-000097000000}"/>
    <cellStyle name="표준 9 2 2 2" xfId="139" xr:uid="{00000000-0005-0000-0000-000098000000}"/>
    <cellStyle name="표준 9 2 3" xfId="89" xr:uid="{00000000-0005-0000-0000-000099000000}"/>
    <cellStyle name="표준 9 3" xfId="87" xr:uid="{00000000-0005-0000-0000-00009A000000}"/>
    <cellStyle name="표준 9 3 2" xfId="155" xr:uid="{00000000-0005-0000-0000-00009B000000}"/>
  </cellStyles>
  <dxfs count="2">
    <dxf>
      <fill>
        <patternFill>
          <bgColor rgb="FFFFFAD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AFFE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FAFFE1"/>
      <color rgb="FFFFFADD"/>
      <color rgb="FFF0F0F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15</xdr:row>
      <xdr:rowOff>1</xdr:rowOff>
    </xdr:from>
    <xdr:to>
      <xdr:col>4</xdr:col>
      <xdr:colOff>1027697</xdr:colOff>
      <xdr:row>16</xdr:row>
      <xdr:rowOff>5015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2905125" y="3638551"/>
          <a:ext cx="1027697" cy="25266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171450</xdr:colOff>
      <xdr:row>17</xdr:row>
      <xdr:rowOff>113800</xdr:rowOff>
    </xdr:from>
    <xdr:to>
      <xdr:col>13</xdr:col>
      <xdr:colOff>657225</xdr:colOff>
      <xdr:row>19</xdr:row>
      <xdr:rowOff>23564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4105275" y="4247650"/>
          <a:ext cx="4371975" cy="405064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치명타에 </a:t>
          </a:r>
          <a:r>
            <a:rPr lang="ko-KR" altLang="en-US" sz="1000" baseline="0">
              <a:latin typeface="+mj-ea"/>
              <a:ea typeface="+mj-ea"/>
            </a:rPr>
            <a:t>의한 피해는 공격력으로 입히는 최종 피해의 </a:t>
          </a:r>
          <a:r>
            <a:rPr lang="en-US" altLang="ko-KR" sz="1000" baseline="0">
              <a:latin typeface="+mj-ea"/>
              <a:ea typeface="+mj-ea"/>
            </a:rPr>
            <a:t>1.5</a:t>
          </a:r>
          <a:r>
            <a:rPr lang="ko-KR" altLang="en-US" sz="1000" baseline="0">
              <a:latin typeface="+mj-ea"/>
              <a:ea typeface="+mj-ea"/>
            </a:rPr>
            <a:t>배로 고정된다</a:t>
          </a:r>
          <a:r>
            <a:rPr lang="en-US" altLang="ko-KR" sz="1000" baseline="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  <xdr:twoCellAnchor>
    <xdr:from>
      <xdr:col>5</xdr:col>
      <xdr:colOff>171450</xdr:colOff>
      <xdr:row>17</xdr:row>
      <xdr:rowOff>104775</xdr:rowOff>
    </xdr:from>
    <xdr:to>
      <xdr:col>13</xdr:col>
      <xdr:colOff>657225</xdr:colOff>
      <xdr:row>19</xdr:row>
      <xdr:rowOff>33089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/>
      </xdr:nvSpPr>
      <xdr:spPr>
        <a:xfrm>
          <a:off x="4105275" y="4238625"/>
          <a:ext cx="4371975" cy="42361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513849</xdr:colOff>
      <xdr:row>16</xdr:row>
      <xdr:rowOff>5014</xdr:rowOff>
    </xdr:from>
    <xdr:to>
      <xdr:col>5</xdr:col>
      <xdr:colOff>171450</xdr:colOff>
      <xdr:row>18</xdr:row>
      <xdr:rowOff>68681</xdr:rowOff>
    </xdr:to>
    <xdr:cxnSp macro="">
      <xdr:nvCxnSpPr>
        <xdr:cNvPr id="5" name="꺾인 연결선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CxnSpPr>
          <a:stCxn id="2" idx="2"/>
          <a:endCxn id="3" idx="1"/>
        </xdr:cNvCxnSpPr>
      </xdr:nvCxnSpPr>
      <xdr:spPr>
        <a:xfrm rot="16200000" flipH="1">
          <a:off x="3482641" y="3827547"/>
          <a:ext cx="558967" cy="686301"/>
        </a:xfrm>
        <a:prstGeom prst="bentConnector2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171450</xdr:colOff>
      <xdr:row>19</xdr:row>
      <xdr:rowOff>75699</xdr:rowOff>
    </xdr:from>
    <xdr:to>
      <xdr:col>13</xdr:col>
      <xdr:colOff>657225</xdr:colOff>
      <xdr:row>21</xdr:row>
      <xdr:rowOff>200025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SpPr/>
      </xdr:nvSpPr>
      <xdr:spPr>
        <a:xfrm>
          <a:off x="4105275" y="4704849"/>
          <a:ext cx="4371975" cy="619626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그러나 치명 피해량이 증가하면 해당 피해도 </a:t>
          </a:r>
          <a:r>
            <a:rPr lang="en-US" altLang="ko-KR" sz="1000">
              <a:latin typeface="+mj-ea"/>
              <a:ea typeface="+mj-ea"/>
            </a:rPr>
            <a:t>1.5</a:t>
          </a:r>
          <a:r>
            <a:rPr lang="ko-KR" altLang="en-US" sz="1000">
              <a:latin typeface="+mj-ea"/>
              <a:ea typeface="+mj-ea"/>
            </a:rPr>
            <a:t>배에서</a:t>
          </a:r>
          <a:endParaRPr lang="en-US" altLang="ko-KR" sz="1000">
            <a:latin typeface="+mj-ea"/>
            <a:ea typeface="+mj-ea"/>
          </a:endParaRPr>
        </a:p>
        <a:p>
          <a:pPr algn="ctr"/>
          <a:r>
            <a:rPr lang="ko-KR" altLang="en-US" sz="1000">
              <a:latin typeface="+mj-ea"/>
              <a:ea typeface="+mj-ea"/>
            </a:rPr>
            <a:t>그 이상으로 증가하거나 감소하며 그것은 스킬과 옵션으로  조정된다</a:t>
          </a:r>
          <a:r>
            <a:rPr lang="en-US" altLang="ko-KR" sz="100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W69"/>
  <sheetViews>
    <sheetView tabSelected="1" workbookViewId="0">
      <selection activeCell="G20" sqref="G20"/>
    </sheetView>
  </sheetViews>
  <sheetFormatPr defaultRowHeight="13.5"/>
  <cols>
    <col min="1" max="1" width="9" style="3"/>
    <col min="2" max="2" width="11.125" style="3" customWidth="1"/>
    <col min="3" max="3" width="12.25" style="3" customWidth="1"/>
    <col min="4" max="4" width="9.5" style="3" bestFit="1" customWidth="1"/>
    <col min="5" max="6" width="9" style="3"/>
    <col min="7" max="7" width="14.75" style="3" customWidth="1"/>
    <col min="8" max="8" width="25.5" style="3" bestFit="1" customWidth="1"/>
    <col min="9" max="9" width="21.375" style="3" customWidth="1"/>
    <col min="10" max="10" width="3.875" style="3" customWidth="1"/>
    <col min="11" max="11" width="5.375" style="3" customWidth="1"/>
    <col min="12" max="12" width="1.125" style="3" customWidth="1"/>
    <col min="13" max="13" width="0.75" style="3" customWidth="1"/>
    <col min="14" max="14" width="2" style="3" customWidth="1"/>
    <col min="15" max="15" width="5.125" style="3" customWidth="1"/>
    <col min="16" max="16" width="42.875" style="3" customWidth="1"/>
    <col min="17" max="17" width="30.5" style="3" customWidth="1"/>
    <col min="18" max="19" width="9" style="3"/>
    <col min="20" max="20" width="12" style="3" customWidth="1"/>
    <col min="21" max="21" width="18.5" style="3" customWidth="1"/>
    <col min="22" max="22" width="9" style="3"/>
    <col min="23" max="23" width="21.125" style="3" customWidth="1"/>
    <col min="24" max="16384" width="9" style="3"/>
  </cols>
  <sheetData>
    <row r="2" spans="2:23">
      <c r="B2" s="225" t="s">
        <v>63</v>
      </c>
      <c r="C2" s="2" t="s">
        <v>64</v>
      </c>
      <c r="D2" s="2" t="s">
        <v>65</v>
      </c>
      <c r="F2" s="3" t="s">
        <v>66</v>
      </c>
    </row>
    <row r="3" spans="2:23">
      <c r="B3" s="226"/>
      <c r="C3" s="4">
        <v>0.32800000905990601</v>
      </c>
      <c r="D3" s="4">
        <v>0.32699999213218689</v>
      </c>
      <c r="F3" s="3" t="s">
        <v>69</v>
      </c>
    </row>
    <row r="4" spans="2:23">
      <c r="F4" s="3" t="s">
        <v>67</v>
      </c>
    </row>
    <row r="5" spans="2:23" ht="17.25" thickBot="1">
      <c r="I5" s="184"/>
      <c r="J5" s="185"/>
      <c r="K5" s="186"/>
      <c r="L5" s="186"/>
      <c r="M5" s="186"/>
      <c r="N5" s="186"/>
      <c r="O5" s="186"/>
      <c r="P5" s="186"/>
      <c r="Q5" s="175"/>
      <c r="R5" s="175"/>
      <c r="S5" s="175"/>
      <c r="T5" s="175"/>
    </row>
    <row r="6" spans="2:23" ht="18" thickTop="1" thickBot="1">
      <c r="B6" s="5" t="s">
        <v>72</v>
      </c>
      <c r="C6" s="5"/>
      <c r="D6" s="5"/>
      <c r="F6" s="178" t="s">
        <v>1234</v>
      </c>
      <c r="G6" s="176" t="s">
        <v>1235</v>
      </c>
      <c r="H6" s="176"/>
      <c r="L6" s="217"/>
      <c r="M6" s="217"/>
      <c r="N6" s="217"/>
      <c r="O6" s="217"/>
      <c r="P6" s="217"/>
      <c r="Q6" s="218"/>
      <c r="R6" s="176"/>
      <c r="S6" s="176"/>
      <c r="T6" s="177"/>
      <c r="U6" s="173"/>
      <c r="V6" s="173"/>
    </row>
    <row r="7" spans="2:23" ht="14.25" thickTop="1"/>
    <row r="8" spans="2:23" s="6" customFormat="1" ht="6.75" customHeight="1"/>
    <row r="10" spans="2:23">
      <c r="B10" s="3" t="s">
        <v>68</v>
      </c>
      <c r="P10" s="3" t="s">
        <v>1276</v>
      </c>
    </row>
    <row r="11" spans="2:23">
      <c r="P11" s="3" t="s">
        <v>1410</v>
      </c>
      <c r="T11" s="174"/>
      <c r="U11" s="175"/>
      <c r="V11" s="175"/>
    </row>
    <row r="12" spans="2:23" ht="16.5">
      <c r="B12" s="7" t="s">
        <v>0</v>
      </c>
      <c r="C12" s="255" t="s">
        <v>1</v>
      </c>
      <c r="D12" s="255"/>
      <c r="E12" s="255"/>
      <c r="F12" s="255"/>
      <c r="G12" s="255"/>
      <c r="H12" s="255"/>
      <c r="I12" s="255"/>
      <c r="J12" s="255"/>
      <c r="K12" s="255"/>
      <c r="L12" s="255"/>
      <c r="M12" s="255"/>
      <c r="N12" s="255"/>
      <c r="P12" s="187" t="s">
        <v>1274</v>
      </c>
      <c r="Q12" s="188"/>
      <c r="R12" s="180"/>
      <c r="S12" s="180"/>
      <c r="T12" s="181"/>
      <c r="U12" s="181"/>
      <c r="V12" s="182"/>
      <c r="W12" s="183"/>
    </row>
    <row r="13" spans="2:23" ht="16.5">
      <c r="B13" s="7" t="s">
        <v>4</v>
      </c>
      <c r="C13" s="255" t="s">
        <v>79</v>
      </c>
      <c r="D13" s="255"/>
      <c r="E13" s="255"/>
      <c r="F13" s="255"/>
      <c r="G13" s="255"/>
      <c r="H13" s="255"/>
      <c r="I13" s="255"/>
      <c r="J13" s="255"/>
      <c r="K13" s="255"/>
      <c r="L13" s="255"/>
      <c r="M13" s="255"/>
      <c r="N13" s="255"/>
      <c r="P13" s="187" t="s">
        <v>1275</v>
      </c>
      <c r="Q13" s="189">
        <v>6380</v>
      </c>
      <c r="R13" s="180"/>
      <c r="S13" s="180"/>
      <c r="T13" s="181"/>
      <c r="U13" s="181"/>
      <c r="V13" s="182"/>
      <c r="W13" s="183"/>
    </row>
    <row r="14" spans="2:23" ht="16.5">
      <c r="B14" s="7" t="s">
        <v>5</v>
      </c>
      <c r="C14" s="255" t="s">
        <v>78</v>
      </c>
      <c r="D14" s="255"/>
      <c r="E14" s="255"/>
      <c r="F14" s="255"/>
      <c r="G14" s="255"/>
      <c r="H14" s="255"/>
      <c r="I14" s="255"/>
      <c r="J14" s="255"/>
      <c r="K14" s="255"/>
      <c r="L14" s="255"/>
      <c r="M14" s="255"/>
      <c r="N14" s="255"/>
      <c r="P14" s="187" t="s">
        <v>1444</v>
      </c>
      <c r="Q14" s="188" t="s">
        <v>1445</v>
      </c>
      <c r="R14" s="180"/>
      <c r="S14" s="180"/>
      <c r="T14" s="181"/>
      <c r="U14" s="181"/>
      <c r="V14" s="182"/>
      <c r="W14" s="183"/>
    </row>
    <row r="15" spans="2:23" ht="16.5">
      <c r="B15" s="7" t="s">
        <v>61</v>
      </c>
      <c r="C15" s="235" t="s">
        <v>80</v>
      </c>
      <c r="D15" s="236"/>
      <c r="E15" s="236"/>
      <c r="F15" s="236"/>
      <c r="G15" s="236"/>
      <c r="H15" s="236"/>
      <c r="I15" s="236"/>
      <c r="J15" s="236"/>
      <c r="K15" s="236"/>
      <c r="L15" s="236"/>
      <c r="M15" s="236"/>
      <c r="N15" s="237"/>
      <c r="P15" s="187" t="s">
        <v>1443</v>
      </c>
      <c r="Q15" s="188" t="s">
        <v>1387</v>
      </c>
      <c r="R15" s="180"/>
      <c r="S15" s="180"/>
      <c r="T15" s="181"/>
      <c r="U15" s="181"/>
      <c r="V15" s="182"/>
      <c r="W15" s="183"/>
    </row>
    <row r="16" spans="2:23" ht="16.5">
      <c r="B16" s="7" t="s">
        <v>2</v>
      </c>
      <c r="C16" s="255" t="s">
        <v>71</v>
      </c>
      <c r="D16" s="255"/>
      <c r="E16" s="255"/>
      <c r="F16" s="255"/>
      <c r="G16" s="255"/>
      <c r="H16" s="255"/>
      <c r="I16" s="255"/>
      <c r="J16" s="255"/>
      <c r="K16" s="255"/>
      <c r="L16" s="255"/>
      <c r="M16" s="255"/>
      <c r="N16" s="255"/>
      <c r="P16" s="187" t="s">
        <v>1442</v>
      </c>
      <c r="Q16" s="188" t="s">
        <v>1387</v>
      </c>
      <c r="R16" s="180"/>
      <c r="S16" s="180"/>
      <c r="T16" s="181"/>
      <c r="U16" s="181"/>
      <c r="V16" s="182"/>
      <c r="W16" s="183"/>
    </row>
    <row r="17" spans="2:14">
      <c r="B17" s="7" t="s">
        <v>70</v>
      </c>
      <c r="C17" s="255" t="s">
        <v>1446</v>
      </c>
      <c r="D17" s="255"/>
      <c r="E17" s="255"/>
      <c r="F17" s="255"/>
      <c r="G17" s="255"/>
      <c r="H17" s="255"/>
      <c r="I17" s="255"/>
      <c r="J17" s="255"/>
      <c r="K17" s="255"/>
      <c r="L17" s="255"/>
      <c r="M17" s="255"/>
      <c r="N17" s="255"/>
    </row>
    <row r="18" spans="2:14">
      <c r="B18" s="7" t="s">
        <v>62</v>
      </c>
      <c r="C18" s="255" t="s">
        <v>3</v>
      </c>
      <c r="D18" s="255"/>
      <c r="E18" s="255"/>
      <c r="F18" s="255"/>
      <c r="G18" s="255"/>
      <c r="H18" s="255"/>
      <c r="I18" s="255"/>
      <c r="J18" s="255"/>
      <c r="K18" s="255"/>
      <c r="L18" s="255"/>
      <c r="M18" s="255"/>
      <c r="N18" s="255"/>
    </row>
    <row r="19" spans="2:14">
      <c r="B19" s="156"/>
      <c r="C19" s="157"/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N19" s="157"/>
    </row>
    <row r="20" spans="2:14" ht="16.5">
      <c r="B20" s="3" t="s">
        <v>1209</v>
      </c>
      <c r="C20" s="158"/>
      <c r="D20" s="158"/>
      <c r="E20" s="158"/>
      <c r="F20" s="157"/>
      <c r="G20" s="157"/>
      <c r="H20" s="157"/>
      <c r="I20" s="157"/>
      <c r="J20" s="157"/>
      <c r="K20" s="157"/>
      <c r="L20" s="157"/>
      <c r="M20" s="157"/>
      <c r="N20" s="157"/>
    </row>
    <row r="21" spans="2:14">
      <c r="B21" s="159" t="s">
        <v>93</v>
      </c>
      <c r="C21" s="159" t="s">
        <v>1247</v>
      </c>
      <c r="D21" s="159" t="s">
        <v>1210</v>
      </c>
      <c r="E21" s="159" t="s">
        <v>1211</v>
      </c>
      <c r="F21" s="157"/>
      <c r="G21" s="157"/>
      <c r="H21" s="157"/>
      <c r="I21" s="157"/>
      <c r="J21" s="157"/>
      <c r="K21" s="157"/>
      <c r="L21" s="157"/>
    </row>
    <row r="22" spans="2:14">
      <c r="B22" s="159">
        <v>1</v>
      </c>
      <c r="C22" s="159" t="s">
        <v>1454</v>
      </c>
      <c r="D22" s="159" t="s">
        <v>1212</v>
      </c>
      <c r="E22" s="159" t="s">
        <v>13</v>
      </c>
      <c r="F22" s="157"/>
      <c r="G22" s="157" t="s">
        <v>1481</v>
      </c>
      <c r="H22" s="157"/>
      <c r="I22" s="157"/>
      <c r="J22" s="157"/>
      <c r="K22" s="157"/>
      <c r="L22" s="157"/>
    </row>
    <row r="23" spans="2:14" ht="16.5">
      <c r="B23" s="159">
        <v>2</v>
      </c>
      <c r="C23" s="155" t="s">
        <v>1455</v>
      </c>
      <c r="D23" s="159" t="s">
        <v>1447</v>
      </c>
      <c r="E23" s="159">
        <v>1</v>
      </c>
      <c r="F23" s="157"/>
      <c r="G23" s="210" t="s">
        <v>1435</v>
      </c>
      <c r="H23" s="211" t="s">
        <v>1438</v>
      </c>
      <c r="I23" s="220" t="s">
        <v>1479</v>
      </c>
      <c r="J23" s="221" t="s">
        <v>1482</v>
      </c>
      <c r="K23" s="219" t="s">
        <v>1480</v>
      </c>
      <c r="L23" s="157"/>
    </row>
    <row r="24" spans="2:14">
      <c r="B24" s="159">
        <v>3</v>
      </c>
      <c r="C24" s="159" t="s">
        <v>1456</v>
      </c>
      <c r="D24" s="159" t="s">
        <v>1448</v>
      </c>
      <c r="E24" s="159">
        <v>2</v>
      </c>
      <c r="F24" s="157"/>
      <c r="G24" s="209" t="s">
        <v>1436</v>
      </c>
      <c r="H24" s="209" t="s">
        <v>1438</v>
      </c>
      <c r="I24" s="157"/>
      <c r="J24" s="157"/>
      <c r="K24" s="157"/>
      <c r="L24" s="157"/>
    </row>
    <row r="25" spans="2:14">
      <c r="B25" s="159">
        <v>4</v>
      </c>
      <c r="C25" s="159" t="s">
        <v>1457</v>
      </c>
      <c r="D25" s="159" t="s">
        <v>1449</v>
      </c>
      <c r="E25" s="159">
        <v>4</v>
      </c>
      <c r="F25" s="157"/>
      <c r="G25" s="210" t="s">
        <v>1437</v>
      </c>
      <c r="H25" s="211" t="s">
        <v>1438</v>
      </c>
      <c r="I25" s="212"/>
      <c r="J25" s="157"/>
      <c r="K25" s="157"/>
      <c r="L25" s="157"/>
    </row>
    <row r="26" spans="2:14">
      <c r="B26" s="159">
        <v>5</v>
      </c>
      <c r="C26" s="159" t="s">
        <v>1458</v>
      </c>
      <c r="D26" s="159" t="s">
        <v>1452</v>
      </c>
      <c r="E26" s="159">
        <v>4</v>
      </c>
      <c r="F26" s="157"/>
      <c r="G26" s="211" t="s">
        <v>1440</v>
      </c>
      <c r="H26" s="211" t="s">
        <v>1438</v>
      </c>
      <c r="I26" s="213"/>
      <c r="J26" s="157"/>
      <c r="K26" s="157"/>
      <c r="L26" s="157"/>
    </row>
    <row r="27" spans="2:14">
      <c r="B27" s="159">
        <v>6</v>
      </c>
      <c r="C27" s="159" t="s">
        <v>1459</v>
      </c>
      <c r="D27" s="159" t="s">
        <v>1450</v>
      </c>
      <c r="E27" s="159">
        <v>8</v>
      </c>
      <c r="F27" s="157"/>
      <c r="G27" s="211" t="s">
        <v>1441</v>
      </c>
      <c r="H27" s="211" t="s">
        <v>1439</v>
      </c>
      <c r="I27" s="213"/>
      <c r="J27" s="157"/>
      <c r="K27" s="157"/>
      <c r="L27" s="157"/>
    </row>
    <row r="28" spans="2:14">
      <c r="B28" s="159">
        <v>7</v>
      </c>
      <c r="C28" s="155" t="s">
        <v>1460</v>
      </c>
      <c r="D28" s="159" t="s">
        <v>1453</v>
      </c>
      <c r="E28" s="159">
        <v>8</v>
      </c>
      <c r="F28" s="157"/>
      <c r="G28" s="209"/>
      <c r="H28" s="209"/>
      <c r="I28" s="157"/>
      <c r="J28" s="157"/>
      <c r="K28" s="157"/>
      <c r="L28" s="157"/>
    </row>
    <row r="29" spans="2:14">
      <c r="B29" s="159">
        <v>8</v>
      </c>
      <c r="C29" s="159" t="s">
        <v>1473</v>
      </c>
      <c r="D29" s="159" t="s">
        <v>1451</v>
      </c>
      <c r="E29" s="159" t="s">
        <v>1214</v>
      </c>
      <c r="F29" s="157"/>
      <c r="G29" s="209"/>
      <c r="H29" s="209"/>
      <c r="I29" s="157"/>
      <c r="J29" s="157"/>
      <c r="K29" s="157"/>
      <c r="L29" s="157"/>
    </row>
    <row r="31" spans="2:14" s="6" customFormat="1" ht="6.75" customHeight="1"/>
    <row r="33" spans="2:9">
      <c r="B33" s="3" t="s">
        <v>206</v>
      </c>
    </row>
    <row r="34" spans="2:9">
      <c r="B34" s="8" t="s">
        <v>7</v>
      </c>
      <c r="C34" s="8" t="s">
        <v>8</v>
      </c>
      <c r="D34" s="230" t="s">
        <v>9</v>
      </c>
      <c r="E34" s="231"/>
      <c r="F34" s="231"/>
      <c r="G34" s="232"/>
      <c r="H34" s="35" t="s">
        <v>10</v>
      </c>
      <c r="I34" s="37" t="s">
        <v>191</v>
      </c>
    </row>
    <row r="35" spans="2:9">
      <c r="B35" s="233" t="s">
        <v>6</v>
      </c>
      <c r="C35" s="8" t="s">
        <v>11</v>
      </c>
      <c r="D35" s="234" t="s">
        <v>12</v>
      </c>
      <c r="E35" s="234"/>
      <c r="F35" s="234"/>
      <c r="G35" s="234"/>
      <c r="H35" s="35" t="s">
        <v>13</v>
      </c>
      <c r="I35" s="37" t="s">
        <v>192</v>
      </c>
    </row>
    <row r="36" spans="2:9" ht="56.25" customHeight="1">
      <c r="B36" s="233"/>
      <c r="C36" s="8" t="s">
        <v>14</v>
      </c>
      <c r="D36" s="234" t="s">
        <v>15</v>
      </c>
      <c r="E36" s="234"/>
      <c r="F36" s="234"/>
      <c r="G36" s="234"/>
      <c r="H36" s="35" t="s">
        <v>16</v>
      </c>
      <c r="I36" s="37" t="s">
        <v>193</v>
      </c>
    </row>
    <row r="37" spans="2:9" ht="22.5" customHeight="1">
      <c r="B37" s="233"/>
      <c r="C37" s="8" t="s">
        <v>17</v>
      </c>
      <c r="D37" s="234" t="s">
        <v>18</v>
      </c>
      <c r="E37" s="234"/>
      <c r="F37" s="234"/>
      <c r="G37" s="234"/>
      <c r="H37" s="35" t="s">
        <v>19</v>
      </c>
      <c r="I37" s="37" t="s">
        <v>194</v>
      </c>
    </row>
    <row r="38" spans="2:9">
      <c r="B38" s="233"/>
      <c r="C38" s="8" t="s">
        <v>77</v>
      </c>
      <c r="D38" s="230" t="s">
        <v>20</v>
      </c>
      <c r="E38" s="231"/>
      <c r="F38" s="231"/>
      <c r="G38" s="232"/>
      <c r="H38" s="35" t="s">
        <v>21</v>
      </c>
      <c r="I38" s="37" t="s">
        <v>195</v>
      </c>
    </row>
    <row r="39" spans="2:9" ht="22.5" customHeight="1">
      <c r="B39" s="233"/>
      <c r="C39" s="8" t="s">
        <v>22</v>
      </c>
      <c r="D39" s="230" t="s">
        <v>23</v>
      </c>
      <c r="E39" s="231"/>
      <c r="F39" s="231"/>
      <c r="G39" s="232"/>
      <c r="H39" s="35" t="s">
        <v>24</v>
      </c>
      <c r="I39" s="37" t="s">
        <v>196</v>
      </c>
    </row>
    <row r="40" spans="2:9" ht="33.75" customHeight="1">
      <c r="B40" s="233" t="s">
        <v>25</v>
      </c>
      <c r="C40" s="233" t="s">
        <v>203</v>
      </c>
      <c r="D40" s="230" t="s">
        <v>26</v>
      </c>
      <c r="E40" s="231"/>
      <c r="F40" s="231"/>
      <c r="G40" s="232"/>
      <c r="H40" s="244" t="s">
        <v>16</v>
      </c>
      <c r="I40" s="250" t="s">
        <v>197</v>
      </c>
    </row>
    <row r="41" spans="2:9">
      <c r="B41" s="233"/>
      <c r="C41" s="233"/>
      <c r="D41" s="230" t="s">
        <v>27</v>
      </c>
      <c r="E41" s="231"/>
      <c r="F41" s="231"/>
      <c r="G41" s="232"/>
      <c r="H41" s="244"/>
      <c r="I41" s="251"/>
    </row>
    <row r="42" spans="2:9" ht="33.75" customHeight="1">
      <c r="B42" s="233"/>
      <c r="C42" s="233" t="s">
        <v>204</v>
      </c>
      <c r="D42" s="230" t="s">
        <v>26</v>
      </c>
      <c r="E42" s="231"/>
      <c r="F42" s="231"/>
      <c r="G42" s="232"/>
      <c r="H42" s="244" t="s">
        <v>24</v>
      </c>
      <c r="I42" s="250" t="s">
        <v>198</v>
      </c>
    </row>
    <row r="43" spans="2:9">
      <c r="B43" s="233"/>
      <c r="C43" s="233"/>
      <c r="D43" s="230" t="s">
        <v>28</v>
      </c>
      <c r="E43" s="231"/>
      <c r="F43" s="231"/>
      <c r="G43" s="232"/>
      <c r="H43" s="244"/>
      <c r="I43" s="251"/>
    </row>
    <row r="44" spans="2:9" ht="22.5" customHeight="1">
      <c r="B44" s="233"/>
      <c r="C44" s="10" t="s">
        <v>29</v>
      </c>
      <c r="D44" s="246" t="s">
        <v>30</v>
      </c>
      <c r="E44" s="247"/>
      <c r="F44" s="247"/>
      <c r="G44" s="248"/>
      <c r="H44" s="38" t="s">
        <v>16</v>
      </c>
      <c r="I44" s="39" t="s">
        <v>199</v>
      </c>
    </row>
    <row r="45" spans="2:9">
      <c r="B45" s="233" t="s">
        <v>31</v>
      </c>
      <c r="C45" s="8" t="s">
        <v>92</v>
      </c>
      <c r="D45" s="230" t="s">
        <v>32</v>
      </c>
      <c r="E45" s="231"/>
      <c r="F45" s="231"/>
      <c r="G45" s="232"/>
      <c r="H45" s="35" t="s">
        <v>33</v>
      </c>
      <c r="I45" s="252" t="s">
        <v>202</v>
      </c>
    </row>
    <row r="46" spans="2:9">
      <c r="B46" s="233"/>
      <c r="C46" s="233" t="s">
        <v>229</v>
      </c>
      <c r="D46" s="230" t="s">
        <v>32</v>
      </c>
      <c r="E46" s="231"/>
      <c r="F46" s="231"/>
      <c r="G46" s="232"/>
      <c r="H46" s="244" t="s">
        <v>34</v>
      </c>
      <c r="I46" s="253"/>
    </row>
    <row r="47" spans="2:9">
      <c r="B47" s="233"/>
      <c r="C47" s="233"/>
      <c r="D47" s="230"/>
      <c r="E47" s="231"/>
      <c r="F47" s="231"/>
      <c r="G47" s="232"/>
      <c r="H47" s="244"/>
      <c r="I47" s="253"/>
    </row>
    <row r="48" spans="2:9" ht="33.75" customHeight="1">
      <c r="B48" s="233"/>
      <c r="C48" s="233"/>
      <c r="D48" s="241" t="s">
        <v>73</v>
      </c>
      <c r="E48" s="242"/>
      <c r="F48" s="242"/>
      <c r="G48" s="243"/>
      <c r="H48" s="244"/>
      <c r="I48" s="253"/>
    </row>
    <row r="49" spans="2:9">
      <c r="B49" s="233"/>
      <c r="C49" s="233"/>
      <c r="D49" s="241"/>
      <c r="E49" s="242"/>
      <c r="F49" s="242"/>
      <c r="G49" s="243"/>
      <c r="H49" s="244"/>
      <c r="I49" s="253"/>
    </row>
    <row r="50" spans="2:9" ht="45" customHeight="1">
      <c r="B50" s="233"/>
      <c r="C50" s="233"/>
      <c r="D50" s="241" t="s">
        <v>74</v>
      </c>
      <c r="E50" s="242"/>
      <c r="F50" s="242"/>
      <c r="G50" s="243"/>
      <c r="H50" s="244"/>
      <c r="I50" s="253"/>
    </row>
    <row r="51" spans="2:9" ht="45" customHeight="1">
      <c r="B51" s="233"/>
      <c r="C51" s="10" t="s">
        <v>35</v>
      </c>
      <c r="D51" s="227" t="s">
        <v>36</v>
      </c>
      <c r="E51" s="228"/>
      <c r="F51" s="228"/>
      <c r="G51" s="229"/>
      <c r="H51" s="36" t="s">
        <v>91</v>
      </c>
      <c r="I51" s="253"/>
    </row>
    <row r="52" spans="2:9">
      <c r="B52" s="8" t="s">
        <v>37</v>
      </c>
      <c r="C52" s="8" t="s">
        <v>38</v>
      </c>
      <c r="D52" s="230" t="s">
        <v>39</v>
      </c>
      <c r="E52" s="231"/>
      <c r="F52" s="231"/>
      <c r="G52" s="232"/>
      <c r="H52" s="35" t="s">
        <v>40</v>
      </c>
      <c r="I52" s="253"/>
    </row>
    <row r="53" spans="2:9">
      <c r="B53" s="222" t="s">
        <v>31</v>
      </c>
      <c r="C53" s="233" t="s">
        <v>41</v>
      </c>
      <c r="D53" s="230" t="s">
        <v>39</v>
      </c>
      <c r="E53" s="231"/>
      <c r="F53" s="231"/>
      <c r="G53" s="232"/>
      <c r="H53" s="244" t="s">
        <v>42</v>
      </c>
      <c r="I53" s="253"/>
    </row>
    <row r="54" spans="2:9">
      <c r="B54" s="223"/>
      <c r="C54" s="233"/>
      <c r="D54" s="230"/>
      <c r="E54" s="231"/>
      <c r="F54" s="231"/>
      <c r="G54" s="232"/>
      <c r="H54" s="244"/>
      <c r="I54" s="253"/>
    </row>
    <row r="55" spans="2:9" ht="33.75" customHeight="1">
      <c r="B55" s="223"/>
      <c r="C55" s="233"/>
      <c r="D55" s="241" t="s">
        <v>75</v>
      </c>
      <c r="E55" s="242"/>
      <c r="F55" s="242"/>
      <c r="G55" s="243"/>
      <c r="H55" s="244"/>
      <c r="I55" s="253"/>
    </row>
    <row r="56" spans="2:9">
      <c r="B56" s="223"/>
      <c r="C56" s="233"/>
      <c r="D56" s="241"/>
      <c r="E56" s="242"/>
      <c r="F56" s="242"/>
      <c r="G56" s="243"/>
      <c r="H56" s="244"/>
      <c r="I56" s="253"/>
    </row>
    <row r="57" spans="2:9" ht="45" customHeight="1">
      <c r="B57" s="223"/>
      <c r="C57" s="233"/>
      <c r="D57" s="241" t="s">
        <v>74</v>
      </c>
      <c r="E57" s="242"/>
      <c r="F57" s="242"/>
      <c r="G57" s="243"/>
      <c r="H57" s="244"/>
      <c r="I57" s="253"/>
    </row>
    <row r="58" spans="2:9" ht="45" customHeight="1">
      <c r="B58" s="224"/>
      <c r="C58" s="8" t="s">
        <v>43</v>
      </c>
      <c r="D58" s="230" t="s">
        <v>44</v>
      </c>
      <c r="E58" s="231"/>
      <c r="F58" s="231"/>
      <c r="G58" s="232"/>
      <c r="H58" s="35"/>
      <c r="I58" s="254"/>
    </row>
    <row r="59" spans="2:9">
      <c r="B59" s="233" t="s">
        <v>45</v>
      </c>
      <c r="C59" s="10" t="s">
        <v>46</v>
      </c>
      <c r="D59" s="227" t="s">
        <v>32</v>
      </c>
      <c r="E59" s="228"/>
      <c r="F59" s="228"/>
      <c r="G59" s="229"/>
      <c r="H59" s="36" t="s">
        <v>47</v>
      </c>
      <c r="I59" s="37"/>
    </row>
    <row r="60" spans="2:9">
      <c r="B60" s="233"/>
      <c r="C60" s="249" t="s">
        <v>48</v>
      </c>
      <c r="D60" s="227" t="s">
        <v>32</v>
      </c>
      <c r="E60" s="228"/>
      <c r="F60" s="228"/>
      <c r="G60" s="229"/>
      <c r="H60" s="245" t="s">
        <v>49</v>
      </c>
      <c r="I60" s="37"/>
    </row>
    <row r="61" spans="2:9">
      <c r="B61" s="233"/>
      <c r="C61" s="249"/>
      <c r="D61" s="227"/>
      <c r="E61" s="228"/>
      <c r="F61" s="228"/>
      <c r="G61" s="229"/>
      <c r="H61" s="245"/>
      <c r="I61" s="37"/>
    </row>
    <row r="62" spans="2:9" ht="33.75" customHeight="1">
      <c r="B62" s="233"/>
      <c r="C62" s="249"/>
      <c r="D62" s="238" t="s">
        <v>200</v>
      </c>
      <c r="E62" s="239"/>
      <c r="F62" s="239"/>
      <c r="G62" s="240"/>
      <c r="H62" s="245"/>
      <c r="I62" s="37"/>
    </row>
    <row r="63" spans="2:9">
      <c r="B63" s="233"/>
      <c r="C63" s="249"/>
      <c r="D63" s="238"/>
      <c r="E63" s="239"/>
      <c r="F63" s="239"/>
      <c r="G63" s="240"/>
      <c r="H63" s="245"/>
      <c r="I63" s="37"/>
    </row>
    <row r="64" spans="2:9" ht="45" customHeight="1">
      <c r="B64" s="233"/>
      <c r="C64" s="249"/>
      <c r="D64" s="238" t="s">
        <v>201</v>
      </c>
      <c r="E64" s="239"/>
      <c r="F64" s="239"/>
      <c r="G64" s="240"/>
      <c r="H64" s="245"/>
      <c r="I64" s="37"/>
    </row>
    <row r="65" spans="2:9" ht="45" customHeight="1">
      <c r="B65" s="233"/>
      <c r="C65" s="10" t="s">
        <v>50</v>
      </c>
      <c r="D65" s="227" t="s">
        <v>36</v>
      </c>
      <c r="E65" s="228"/>
      <c r="F65" s="228"/>
      <c r="G65" s="229"/>
      <c r="H65" s="36"/>
      <c r="I65" s="37"/>
    </row>
    <row r="66" spans="2:9" ht="22.5" customHeight="1">
      <c r="B66" s="233" t="s">
        <v>51</v>
      </c>
      <c r="C66" s="10" t="s">
        <v>52</v>
      </c>
      <c r="D66" s="227" t="s">
        <v>53</v>
      </c>
      <c r="E66" s="228"/>
      <c r="F66" s="228"/>
      <c r="G66" s="229"/>
      <c r="H66" s="36" t="s">
        <v>24</v>
      </c>
      <c r="I66" s="37"/>
    </row>
    <row r="67" spans="2:9" ht="22.5" customHeight="1">
      <c r="B67" s="233"/>
      <c r="C67" s="10" t="s">
        <v>54</v>
      </c>
      <c r="D67" s="227" t="s">
        <v>55</v>
      </c>
      <c r="E67" s="228"/>
      <c r="F67" s="228"/>
      <c r="G67" s="229"/>
      <c r="H67" s="36" t="s">
        <v>16</v>
      </c>
      <c r="I67" s="37"/>
    </row>
    <row r="68" spans="2:9" ht="78.75" customHeight="1">
      <c r="B68" s="233" t="s">
        <v>56</v>
      </c>
      <c r="C68" s="10" t="s">
        <v>57</v>
      </c>
      <c r="D68" s="227" t="s">
        <v>58</v>
      </c>
      <c r="E68" s="228"/>
      <c r="F68" s="228"/>
      <c r="G68" s="229"/>
      <c r="H68" s="36" t="s">
        <v>24</v>
      </c>
      <c r="I68" s="37"/>
    </row>
    <row r="69" spans="2:9" ht="45" customHeight="1">
      <c r="B69" s="233"/>
      <c r="C69" s="10" t="s">
        <v>59</v>
      </c>
      <c r="D69" s="227" t="s">
        <v>60</v>
      </c>
      <c r="E69" s="228"/>
      <c r="F69" s="228"/>
      <c r="G69" s="229"/>
      <c r="H69" s="36" t="s">
        <v>16</v>
      </c>
      <c r="I69" s="37"/>
    </row>
  </sheetData>
  <mergeCells count="58">
    <mergeCell ref="I40:I41"/>
    <mergeCell ref="I42:I43"/>
    <mergeCell ref="I45:I58"/>
    <mergeCell ref="D38:G38"/>
    <mergeCell ref="C12:N12"/>
    <mergeCell ref="C13:N13"/>
    <mergeCell ref="C14:N14"/>
    <mergeCell ref="C16:N16"/>
    <mergeCell ref="C17:N17"/>
    <mergeCell ref="C18:N18"/>
    <mergeCell ref="B68:B69"/>
    <mergeCell ref="H40:H41"/>
    <mergeCell ref="H42:H43"/>
    <mergeCell ref="H46:H50"/>
    <mergeCell ref="H53:H57"/>
    <mergeCell ref="H60:H64"/>
    <mergeCell ref="D44:G44"/>
    <mergeCell ref="D45:G45"/>
    <mergeCell ref="B45:B51"/>
    <mergeCell ref="C46:C50"/>
    <mergeCell ref="C53:C57"/>
    <mergeCell ref="B59:B65"/>
    <mergeCell ref="C60:C64"/>
    <mergeCell ref="D46:G47"/>
    <mergeCell ref="D48:G49"/>
    <mergeCell ref="B40:B44"/>
    <mergeCell ref="D68:G68"/>
    <mergeCell ref="D69:G69"/>
    <mergeCell ref="C15:N15"/>
    <mergeCell ref="D58:G58"/>
    <mergeCell ref="D59:G59"/>
    <mergeCell ref="D60:G61"/>
    <mergeCell ref="D62:G63"/>
    <mergeCell ref="D64:G64"/>
    <mergeCell ref="D50:G50"/>
    <mergeCell ref="D51:G51"/>
    <mergeCell ref="D52:G52"/>
    <mergeCell ref="D53:G54"/>
    <mergeCell ref="D55:G56"/>
    <mergeCell ref="D57:G57"/>
    <mergeCell ref="D39:G39"/>
    <mergeCell ref="D34:G34"/>
    <mergeCell ref="B53:B58"/>
    <mergeCell ref="B2:B3"/>
    <mergeCell ref="D65:G65"/>
    <mergeCell ref="D66:G66"/>
    <mergeCell ref="D67:G67"/>
    <mergeCell ref="D40:G40"/>
    <mergeCell ref="D41:G41"/>
    <mergeCell ref="D42:G42"/>
    <mergeCell ref="D43:G43"/>
    <mergeCell ref="B66:B67"/>
    <mergeCell ref="B35:B39"/>
    <mergeCell ref="C40:C41"/>
    <mergeCell ref="C42:C43"/>
    <mergeCell ref="D35:G35"/>
    <mergeCell ref="D36:G36"/>
    <mergeCell ref="D37:G37"/>
  </mergeCells>
  <phoneticPr fontId="10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A1:Y24"/>
  <sheetViews>
    <sheetView topLeftCell="D1" zoomScale="85" zoomScaleNormal="85" workbookViewId="0">
      <pane ySplit="3" topLeftCell="A10" activePane="bottomLeft" state="frozen"/>
      <selection activeCell="AC80" sqref="AC79:AC80"/>
      <selection pane="bottomLeft" activeCell="H26" sqref="H26"/>
    </sheetView>
  </sheetViews>
  <sheetFormatPr defaultRowHeight="13.5"/>
  <cols>
    <col min="1" max="2" width="9.75" style="135" customWidth="1"/>
    <col min="3" max="3" width="13.375" style="135" bestFit="1" customWidth="1"/>
    <col min="4" max="4" width="12.75" style="166" customWidth="1"/>
    <col min="5" max="5" width="7.125" style="135" customWidth="1"/>
    <col min="6" max="6" width="7.75" style="135" customWidth="1"/>
    <col min="7" max="7" width="12" style="135" customWidth="1"/>
    <col min="8" max="8" width="9.75" style="135" customWidth="1"/>
    <col min="9" max="9" width="8.375" style="135" bestFit="1" customWidth="1"/>
    <col min="10" max="10" width="8.75" style="135" bestFit="1" customWidth="1"/>
    <col min="11" max="11" width="12.25" style="135" bestFit="1" customWidth="1"/>
    <col min="12" max="14" width="9.625" style="135" bestFit="1" customWidth="1"/>
    <col min="15" max="15" width="11.375" style="135" bestFit="1" customWidth="1"/>
    <col min="16" max="17" width="9.625" style="135" bestFit="1" customWidth="1"/>
    <col min="18" max="18" width="9.625" style="133" customWidth="1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16384" width="9" style="135"/>
  </cols>
  <sheetData>
    <row r="1" spans="1:25" s="134" customFormat="1">
      <c r="A1" s="134" t="s">
        <v>1216</v>
      </c>
      <c r="B1" s="134" t="s">
        <v>1228</v>
      </c>
      <c r="C1" s="134" t="s">
        <v>658</v>
      </c>
      <c r="D1" s="163" t="s">
        <v>1217</v>
      </c>
      <c r="E1" s="134" t="s">
        <v>659</v>
      </c>
      <c r="F1" s="134" t="s">
        <v>660</v>
      </c>
      <c r="G1" s="134" t="s">
        <v>1236</v>
      </c>
      <c r="H1" s="134" t="s">
        <v>661</v>
      </c>
      <c r="I1" s="134" t="s">
        <v>662</v>
      </c>
      <c r="J1" s="134" t="s">
        <v>663</v>
      </c>
      <c r="K1" s="134" t="s">
        <v>664</v>
      </c>
      <c r="L1" s="134" t="s">
        <v>534</v>
      </c>
      <c r="M1" s="134" t="s">
        <v>535</v>
      </c>
      <c r="N1" s="134" t="s">
        <v>536</v>
      </c>
      <c r="O1" s="134" t="s">
        <v>537</v>
      </c>
      <c r="P1" s="134" t="s">
        <v>538</v>
      </c>
      <c r="Q1" s="134" t="s">
        <v>539</v>
      </c>
      <c r="R1" s="126" t="s">
        <v>665</v>
      </c>
      <c r="S1" s="134" t="s">
        <v>666</v>
      </c>
      <c r="T1" s="134" t="s">
        <v>413</v>
      </c>
      <c r="U1" s="134" t="s">
        <v>414</v>
      </c>
      <c r="V1" s="134" t="s">
        <v>415</v>
      </c>
      <c r="W1" s="134" t="s">
        <v>416</v>
      </c>
      <c r="X1" s="134" t="s">
        <v>417</v>
      </c>
      <c r="Y1" s="126" t="s">
        <v>667</v>
      </c>
    </row>
    <row r="2" spans="1:25" s="134" customFormat="1" ht="15.75" customHeight="1">
      <c r="A2" s="134" t="s">
        <v>1227</v>
      </c>
      <c r="B2" s="134" t="s">
        <v>1229</v>
      </c>
      <c r="C2" s="138" t="s">
        <v>669</v>
      </c>
      <c r="D2" s="164"/>
      <c r="E2" s="134" t="s">
        <v>1237</v>
      </c>
      <c r="F2" s="134" t="s">
        <v>1238</v>
      </c>
      <c r="G2" s="134" t="s">
        <v>1239</v>
      </c>
      <c r="H2" s="134" t="s">
        <v>1240</v>
      </c>
      <c r="I2" s="134" t="s">
        <v>671</v>
      </c>
      <c r="J2" s="134" t="s">
        <v>672</v>
      </c>
      <c r="K2" s="134" t="s">
        <v>673</v>
      </c>
      <c r="L2" s="138" t="s">
        <v>674</v>
      </c>
      <c r="M2" s="139" t="s">
        <v>675</v>
      </c>
      <c r="N2" s="139" t="s">
        <v>676</v>
      </c>
      <c r="O2" s="139" t="s">
        <v>677</v>
      </c>
      <c r="P2" s="139" t="s">
        <v>678</v>
      </c>
      <c r="Q2" s="139" t="s">
        <v>679</v>
      </c>
      <c r="R2" s="126"/>
      <c r="S2" s="139" t="s">
        <v>542</v>
      </c>
      <c r="T2" s="139" t="s">
        <v>315</v>
      </c>
      <c r="U2" s="139" t="s">
        <v>316</v>
      </c>
      <c r="V2" s="139" t="s">
        <v>317</v>
      </c>
      <c r="W2" s="139" t="s">
        <v>318</v>
      </c>
      <c r="X2" s="139" t="s">
        <v>319</v>
      </c>
      <c r="Y2" s="126"/>
    </row>
    <row r="3" spans="1:25" s="134" customFormat="1">
      <c r="A3" s="134" t="s">
        <v>670</v>
      </c>
      <c r="B3" s="134" t="s">
        <v>1326</v>
      </c>
      <c r="C3" s="134" t="s">
        <v>670</v>
      </c>
      <c r="D3" s="163"/>
      <c r="E3" s="134" t="s">
        <v>1327</v>
      </c>
      <c r="F3" s="134" t="s">
        <v>1327</v>
      </c>
      <c r="G3" s="134" t="s">
        <v>1327</v>
      </c>
      <c r="H3" s="134" t="s">
        <v>1327</v>
      </c>
      <c r="I3" s="134" t="s">
        <v>670</v>
      </c>
      <c r="J3" s="134" t="s">
        <v>670</v>
      </c>
      <c r="K3" s="134" t="s">
        <v>670</v>
      </c>
      <c r="L3" s="134" t="s">
        <v>670</v>
      </c>
      <c r="M3" s="134" t="s">
        <v>670</v>
      </c>
      <c r="N3" s="134" t="s">
        <v>670</v>
      </c>
      <c r="O3" s="134" t="s">
        <v>670</v>
      </c>
      <c r="P3" s="134" t="s">
        <v>670</v>
      </c>
      <c r="Q3" s="134" t="s">
        <v>670</v>
      </c>
      <c r="R3" s="126"/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26"/>
    </row>
    <row r="4" spans="1:25" s="119" customFormat="1">
      <c r="A4" s="119" t="s">
        <v>680</v>
      </c>
      <c r="D4" s="165"/>
      <c r="R4" s="127"/>
      <c r="Y4" s="127"/>
    </row>
    <row r="5" spans="1:25">
      <c r="A5" s="135">
        <v>1</v>
      </c>
      <c r="B5" s="135">
        <f>A5</f>
        <v>1</v>
      </c>
      <c r="C5" s="135">
        <v>0</v>
      </c>
      <c r="D5" s="166">
        <v>0</v>
      </c>
      <c r="E5" s="135">
        <v>1</v>
      </c>
      <c r="F5" s="135">
        <v>0</v>
      </c>
      <c r="G5" s="135">
        <v>0</v>
      </c>
      <c r="H5" s="135">
        <v>0</v>
      </c>
      <c r="I5" s="135">
        <v>5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3">
        <f>SUM(L5:Q5)</f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</row>
    <row r="6" spans="1:25">
      <c r="A6" s="135">
        <v>2</v>
      </c>
      <c r="B6" s="135">
        <f>B5+1</f>
        <v>2</v>
      </c>
      <c r="C6" s="135">
        <v>30</v>
      </c>
      <c r="D6" s="167">
        <v>0</v>
      </c>
      <c r="E6" s="135">
        <f>E5</f>
        <v>1</v>
      </c>
      <c r="F6" s="135">
        <f>F5+1</f>
        <v>1</v>
      </c>
      <c r="G6" s="135">
        <f>G5</f>
        <v>0</v>
      </c>
      <c r="H6" s="135">
        <f>H5</f>
        <v>0</v>
      </c>
      <c r="I6" s="135">
        <f>I5</f>
        <v>5</v>
      </c>
      <c r="J6" s="135">
        <f>J5+1</f>
        <v>1</v>
      </c>
      <c r="K6" s="135">
        <f>K5</f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3">
        <f t="shared" ref="R6:R24" si="0">SUM(L6:Q6)</f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24" si="1">SUM(S6:X6)</f>
        <v>0</v>
      </c>
    </row>
    <row r="7" spans="1:25">
      <c r="A7" s="135">
        <v>3</v>
      </c>
      <c r="B7" s="135">
        <f t="shared" ref="B7:B24" si="2">B6+1</f>
        <v>3</v>
      </c>
      <c r="C7" s="135">
        <f>ROUND(C6*(D7+1),0)</f>
        <v>45</v>
      </c>
      <c r="D7" s="168">
        <v>0.5</v>
      </c>
      <c r="E7" s="135">
        <f>E6</f>
        <v>1</v>
      </c>
      <c r="F7" s="135">
        <f>F6</f>
        <v>1</v>
      </c>
      <c r="G7" s="135">
        <f>G6+1</f>
        <v>1</v>
      </c>
      <c r="H7" s="135">
        <f>H6</f>
        <v>0</v>
      </c>
      <c r="I7" s="135">
        <f>I6</f>
        <v>5</v>
      </c>
      <c r="J7" s="135">
        <f>J6</f>
        <v>1</v>
      </c>
      <c r="K7" s="135">
        <f>K6+1</f>
        <v>1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3">
        <f t="shared" si="0"/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1"/>
        <v>0</v>
      </c>
    </row>
    <row r="8" spans="1:25">
      <c r="A8" s="135">
        <v>4</v>
      </c>
      <c r="B8" s="135">
        <f t="shared" si="2"/>
        <v>4</v>
      </c>
      <c r="C8" s="135">
        <f t="shared" ref="C8:C24" si="3">ROUND(C7*(D8+1),0)</f>
        <v>68</v>
      </c>
      <c r="D8" s="169">
        <f>D7+0.2%</f>
        <v>0.502</v>
      </c>
      <c r="E8" s="135">
        <f>E7</f>
        <v>1</v>
      </c>
      <c r="F8" s="135">
        <f>F7</f>
        <v>1</v>
      </c>
      <c r="G8" s="135">
        <f>G7</f>
        <v>1</v>
      </c>
      <c r="H8" s="135">
        <f>H7+1</f>
        <v>1</v>
      </c>
      <c r="I8" s="135">
        <f>I5+5</f>
        <v>10</v>
      </c>
      <c r="J8" s="135">
        <f>J7</f>
        <v>1</v>
      </c>
      <c r="K8" s="135">
        <f>K7</f>
        <v>1</v>
      </c>
      <c r="L8" s="135">
        <v>0</v>
      </c>
      <c r="M8" s="135">
        <v>0</v>
      </c>
      <c r="N8" s="135">
        <v>0</v>
      </c>
      <c r="O8" s="135">
        <v>0</v>
      </c>
      <c r="P8" s="135">
        <v>0</v>
      </c>
      <c r="Q8" s="135">
        <v>0</v>
      </c>
      <c r="R8" s="133">
        <f t="shared" si="0"/>
        <v>0</v>
      </c>
      <c r="S8" s="135">
        <v>0</v>
      </c>
      <c r="T8" s="135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1"/>
        <v>0</v>
      </c>
    </row>
    <row r="9" spans="1:25">
      <c r="A9" s="135">
        <v>5</v>
      </c>
      <c r="B9" s="135">
        <f t="shared" si="2"/>
        <v>5</v>
      </c>
      <c r="C9" s="135">
        <f t="shared" si="3"/>
        <v>102</v>
      </c>
      <c r="D9" s="169">
        <f t="shared" ref="D9:D24" si="4">D8+0.2%</f>
        <v>0.504</v>
      </c>
      <c r="E9" s="136">
        <f>E8+1</f>
        <v>2</v>
      </c>
      <c r="F9" s="136">
        <f>F8</f>
        <v>1</v>
      </c>
      <c r="G9" s="136">
        <f>G8</f>
        <v>1</v>
      </c>
      <c r="H9" s="136">
        <f>H8</f>
        <v>1</v>
      </c>
      <c r="I9" s="135">
        <f>I8</f>
        <v>10</v>
      </c>
      <c r="J9" s="135">
        <f>J8+1</f>
        <v>2</v>
      </c>
      <c r="K9" s="135">
        <f>K8</f>
        <v>1</v>
      </c>
      <c r="L9" s="135">
        <v>0</v>
      </c>
      <c r="M9" s="135">
        <v>0</v>
      </c>
      <c r="N9" s="135">
        <v>0</v>
      </c>
      <c r="O9" s="135">
        <v>0</v>
      </c>
      <c r="P9" s="135">
        <v>0</v>
      </c>
      <c r="Q9" s="135">
        <v>0</v>
      </c>
      <c r="R9" s="133">
        <f t="shared" si="0"/>
        <v>0</v>
      </c>
      <c r="S9" s="135">
        <v>0</v>
      </c>
      <c r="T9" s="135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1"/>
        <v>0</v>
      </c>
    </row>
    <row r="10" spans="1:25">
      <c r="A10" s="135">
        <v>6</v>
      </c>
      <c r="B10" s="135">
        <f t="shared" si="2"/>
        <v>6</v>
      </c>
      <c r="C10" s="135">
        <f t="shared" si="3"/>
        <v>154</v>
      </c>
      <c r="D10" s="169">
        <f t="shared" si="4"/>
        <v>0.50600000000000001</v>
      </c>
      <c r="E10" s="136">
        <f>E9</f>
        <v>2</v>
      </c>
      <c r="F10" s="136">
        <f>F9+1</f>
        <v>2</v>
      </c>
      <c r="G10" s="136">
        <f>G9</f>
        <v>1</v>
      </c>
      <c r="H10" s="136">
        <f>H9</f>
        <v>1</v>
      </c>
      <c r="I10" s="135">
        <f>I9</f>
        <v>10</v>
      </c>
      <c r="J10" s="135">
        <f>J9</f>
        <v>2</v>
      </c>
      <c r="K10" s="135">
        <f>K9+1</f>
        <v>2</v>
      </c>
      <c r="L10" s="135">
        <v>0</v>
      </c>
      <c r="M10" s="135">
        <v>0</v>
      </c>
      <c r="N10" s="135">
        <v>0</v>
      </c>
      <c r="O10" s="135">
        <v>0</v>
      </c>
      <c r="P10" s="135">
        <v>0</v>
      </c>
      <c r="Q10" s="135">
        <v>0</v>
      </c>
      <c r="R10" s="133">
        <f t="shared" si="0"/>
        <v>0</v>
      </c>
      <c r="S10" s="135">
        <v>0</v>
      </c>
      <c r="T10" s="135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1"/>
        <v>0</v>
      </c>
    </row>
    <row r="11" spans="1:25">
      <c r="A11" s="135">
        <v>7</v>
      </c>
      <c r="B11" s="135">
        <f t="shared" si="2"/>
        <v>7</v>
      </c>
      <c r="C11" s="135">
        <f t="shared" si="3"/>
        <v>232</v>
      </c>
      <c r="D11" s="169">
        <f t="shared" si="4"/>
        <v>0.50800000000000001</v>
      </c>
      <c r="E11" s="136">
        <f>E10</f>
        <v>2</v>
      </c>
      <c r="F11" s="136">
        <f>F10</f>
        <v>2</v>
      </c>
      <c r="G11" s="136">
        <f>G10+1</f>
        <v>2</v>
      </c>
      <c r="H11" s="136">
        <f>H10</f>
        <v>1</v>
      </c>
      <c r="I11" s="135">
        <f t="shared" ref="I11" si="5">I8+5</f>
        <v>15</v>
      </c>
      <c r="J11" s="135">
        <f t="shared" ref="J11:K12" si="6">J10</f>
        <v>2</v>
      </c>
      <c r="K11" s="135">
        <f t="shared" si="6"/>
        <v>2</v>
      </c>
      <c r="L11" s="135">
        <v>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3">
        <f t="shared" si="0"/>
        <v>0</v>
      </c>
      <c r="S11" s="135">
        <v>0</v>
      </c>
      <c r="T11" s="135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1"/>
        <v>0</v>
      </c>
    </row>
    <row r="12" spans="1:25">
      <c r="A12" s="135">
        <v>8</v>
      </c>
      <c r="B12" s="135">
        <f t="shared" si="2"/>
        <v>8</v>
      </c>
      <c r="C12" s="135">
        <f t="shared" si="3"/>
        <v>350</v>
      </c>
      <c r="D12" s="169">
        <f t="shared" si="4"/>
        <v>0.51</v>
      </c>
      <c r="E12" s="136">
        <f>E11</f>
        <v>2</v>
      </c>
      <c r="F12" s="136">
        <f>F11</f>
        <v>2</v>
      </c>
      <c r="G12" s="136">
        <f>G11</f>
        <v>2</v>
      </c>
      <c r="H12" s="136">
        <f>H11+1</f>
        <v>2</v>
      </c>
      <c r="I12" s="135">
        <f t="shared" ref="I12:K15" si="7">I11</f>
        <v>15</v>
      </c>
      <c r="J12" s="135">
        <f t="shared" ref="J12" si="8">J11+1</f>
        <v>3</v>
      </c>
      <c r="K12" s="135">
        <f t="shared" si="6"/>
        <v>2</v>
      </c>
      <c r="L12" s="135">
        <v>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3">
        <f t="shared" si="0"/>
        <v>0</v>
      </c>
      <c r="S12" s="135">
        <v>0</v>
      </c>
      <c r="T12" s="135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1"/>
        <v>0</v>
      </c>
    </row>
    <row r="13" spans="1:25">
      <c r="A13" s="135">
        <v>9</v>
      </c>
      <c r="B13" s="135">
        <f t="shared" si="2"/>
        <v>9</v>
      </c>
      <c r="C13" s="135">
        <f t="shared" si="3"/>
        <v>529</v>
      </c>
      <c r="D13" s="169">
        <f t="shared" si="4"/>
        <v>0.51200000000000001</v>
      </c>
      <c r="E13" s="136">
        <f t="shared" ref="E13" si="9">E12+1</f>
        <v>3</v>
      </c>
      <c r="F13" s="136">
        <f t="shared" ref="F13:K18" si="10">F12</f>
        <v>2</v>
      </c>
      <c r="G13" s="136">
        <f t="shared" si="10"/>
        <v>2</v>
      </c>
      <c r="H13" s="136">
        <f t="shared" si="10"/>
        <v>2</v>
      </c>
      <c r="I13" s="135">
        <f t="shared" si="7"/>
        <v>15</v>
      </c>
      <c r="J13" s="135">
        <f t="shared" si="7"/>
        <v>3</v>
      </c>
      <c r="K13" s="135">
        <f t="shared" ref="K13" si="11">K12+1</f>
        <v>3</v>
      </c>
      <c r="L13" s="135">
        <v>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3">
        <f t="shared" si="0"/>
        <v>0</v>
      </c>
      <c r="S13" s="135">
        <v>0</v>
      </c>
      <c r="T13" s="135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1"/>
        <v>0</v>
      </c>
    </row>
    <row r="14" spans="1:25">
      <c r="A14" s="135">
        <v>10</v>
      </c>
      <c r="B14" s="135">
        <f t="shared" si="2"/>
        <v>10</v>
      </c>
      <c r="C14" s="135">
        <f t="shared" si="3"/>
        <v>801</v>
      </c>
      <c r="D14" s="169">
        <f t="shared" si="4"/>
        <v>0.51400000000000001</v>
      </c>
      <c r="E14" s="136">
        <f t="shared" ref="E14:K21" si="12">E13</f>
        <v>3</v>
      </c>
      <c r="F14" s="136">
        <f t="shared" ref="F14" si="13">F13+1</f>
        <v>3</v>
      </c>
      <c r="G14" s="136">
        <f t="shared" si="10"/>
        <v>2</v>
      </c>
      <c r="H14" s="136">
        <f t="shared" si="10"/>
        <v>2</v>
      </c>
      <c r="I14" s="135">
        <f t="shared" ref="I14" si="14">I11+5</f>
        <v>20</v>
      </c>
      <c r="J14" s="135">
        <f t="shared" si="7"/>
        <v>3</v>
      </c>
      <c r="K14" s="135">
        <f t="shared" si="7"/>
        <v>3</v>
      </c>
      <c r="L14" s="135">
        <v>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3">
        <f t="shared" si="0"/>
        <v>0</v>
      </c>
      <c r="S14" s="135">
        <v>0</v>
      </c>
      <c r="T14" s="135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1"/>
        <v>0</v>
      </c>
    </row>
    <row r="15" spans="1:25">
      <c r="A15" s="135">
        <v>11</v>
      </c>
      <c r="B15" s="135">
        <f t="shared" si="2"/>
        <v>11</v>
      </c>
      <c r="C15" s="135">
        <f t="shared" si="3"/>
        <v>1214</v>
      </c>
      <c r="D15" s="169">
        <f t="shared" si="4"/>
        <v>0.51600000000000001</v>
      </c>
      <c r="E15" s="136">
        <f t="shared" si="12"/>
        <v>3</v>
      </c>
      <c r="F15" s="136">
        <f t="shared" si="12"/>
        <v>3</v>
      </c>
      <c r="G15" s="136">
        <f t="shared" ref="G15" si="15">G14+1</f>
        <v>3</v>
      </c>
      <c r="H15" s="136">
        <f t="shared" si="10"/>
        <v>2</v>
      </c>
      <c r="I15" s="135">
        <f t="shared" si="10"/>
        <v>20</v>
      </c>
      <c r="J15" s="135">
        <f t="shared" ref="J15" si="16">J14+1</f>
        <v>4</v>
      </c>
      <c r="K15" s="135">
        <f t="shared" si="7"/>
        <v>3</v>
      </c>
      <c r="L15" s="135">
        <v>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3">
        <f t="shared" si="0"/>
        <v>0</v>
      </c>
      <c r="S15" s="135">
        <v>0</v>
      </c>
      <c r="T15" s="135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1"/>
        <v>0</v>
      </c>
    </row>
    <row r="16" spans="1:25">
      <c r="A16" s="135">
        <v>12</v>
      </c>
      <c r="B16" s="135">
        <f t="shared" si="2"/>
        <v>12</v>
      </c>
      <c r="C16" s="135">
        <f t="shared" si="3"/>
        <v>1843</v>
      </c>
      <c r="D16" s="169">
        <f t="shared" si="4"/>
        <v>0.51800000000000002</v>
      </c>
      <c r="E16" s="136">
        <f t="shared" si="12"/>
        <v>3</v>
      </c>
      <c r="F16" s="136">
        <f t="shared" si="12"/>
        <v>3</v>
      </c>
      <c r="G16" s="136">
        <f t="shared" si="12"/>
        <v>3</v>
      </c>
      <c r="H16" s="136">
        <f t="shared" ref="H16" si="17">H15+1</f>
        <v>3</v>
      </c>
      <c r="I16" s="135">
        <f t="shared" si="10"/>
        <v>20</v>
      </c>
      <c r="J16" s="135">
        <f t="shared" si="10"/>
        <v>4</v>
      </c>
      <c r="K16" s="135">
        <f t="shared" ref="K16" si="18">K15+1</f>
        <v>4</v>
      </c>
      <c r="L16" s="135">
        <v>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3">
        <f t="shared" si="0"/>
        <v>0</v>
      </c>
      <c r="S16" s="135">
        <v>0</v>
      </c>
      <c r="T16" s="135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1"/>
        <v>0</v>
      </c>
    </row>
    <row r="17" spans="1:25">
      <c r="A17" s="135">
        <v>13</v>
      </c>
      <c r="B17" s="135">
        <f t="shared" si="2"/>
        <v>13</v>
      </c>
      <c r="C17" s="135">
        <f t="shared" si="3"/>
        <v>2801</v>
      </c>
      <c r="D17" s="169">
        <f t="shared" si="4"/>
        <v>0.52</v>
      </c>
      <c r="E17" s="136">
        <f t="shared" ref="E17" si="19">E16+1</f>
        <v>4</v>
      </c>
      <c r="F17" s="136">
        <f t="shared" si="12"/>
        <v>3</v>
      </c>
      <c r="G17" s="136">
        <f t="shared" si="12"/>
        <v>3</v>
      </c>
      <c r="H17" s="136">
        <f t="shared" si="12"/>
        <v>3</v>
      </c>
      <c r="I17" s="135">
        <f t="shared" ref="I17" si="20">I14+5</f>
        <v>25</v>
      </c>
      <c r="J17" s="135">
        <f t="shared" si="10"/>
        <v>4</v>
      </c>
      <c r="K17" s="135">
        <f t="shared" si="10"/>
        <v>4</v>
      </c>
      <c r="L17" s="135">
        <v>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3">
        <f t="shared" si="0"/>
        <v>0</v>
      </c>
      <c r="S17" s="135">
        <v>0</v>
      </c>
      <c r="T17" s="135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1"/>
        <v>0</v>
      </c>
    </row>
    <row r="18" spans="1:25">
      <c r="A18" s="135">
        <v>14</v>
      </c>
      <c r="B18" s="135">
        <f t="shared" si="2"/>
        <v>14</v>
      </c>
      <c r="C18" s="135">
        <f t="shared" si="3"/>
        <v>4263</v>
      </c>
      <c r="D18" s="169">
        <f t="shared" si="4"/>
        <v>0.52200000000000002</v>
      </c>
      <c r="E18" s="136">
        <f t="shared" ref="E18:K24" si="21">E17</f>
        <v>4</v>
      </c>
      <c r="F18" s="136">
        <f t="shared" ref="F18" si="22">F17+1</f>
        <v>4</v>
      </c>
      <c r="G18" s="136">
        <f t="shared" si="12"/>
        <v>3</v>
      </c>
      <c r="H18" s="136">
        <f t="shared" si="12"/>
        <v>3</v>
      </c>
      <c r="I18" s="135">
        <f t="shared" si="12"/>
        <v>25</v>
      </c>
      <c r="J18" s="135">
        <f t="shared" ref="J18" si="23">J17+1</f>
        <v>5</v>
      </c>
      <c r="K18" s="135">
        <f t="shared" si="10"/>
        <v>4</v>
      </c>
      <c r="L18" s="135">
        <v>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3">
        <f t="shared" si="0"/>
        <v>0</v>
      </c>
      <c r="S18" s="135">
        <v>0</v>
      </c>
      <c r="T18" s="135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1"/>
        <v>0</v>
      </c>
    </row>
    <row r="19" spans="1:25">
      <c r="A19" s="135">
        <v>15</v>
      </c>
      <c r="B19" s="135">
        <f t="shared" si="2"/>
        <v>15</v>
      </c>
      <c r="C19" s="135">
        <f t="shared" si="3"/>
        <v>5542</v>
      </c>
      <c r="D19" s="169">
        <v>0.3</v>
      </c>
      <c r="E19" s="136">
        <f t="shared" si="21"/>
        <v>4</v>
      </c>
      <c r="F19" s="136">
        <f t="shared" si="21"/>
        <v>4</v>
      </c>
      <c r="G19" s="136">
        <f t="shared" ref="G19" si="24">G18+1</f>
        <v>4</v>
      </c>
      <c r="H19" s="136">
        <f t="shared" si="12"/>
        <v>3</v>
      </c>
      <c r="I19" s="135">
        <f t="shared" si="12"/>
        <v>25</v>
      </c>
      <c r="J19" s="135">
        <f t="shared" si="12"/>
        <v>5</v>
      </c>
      <c r="K19" s="135">
        <f t="shared" ref="K19" si="25">K18+1</f>
        <v>5</v>
      </c>
      <c r="L19" s="135">
        <v>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3">
        <f t="shared" si="0"/>
        <v>0</v>
      </c>
      <c r="S19" s="135">
        <v>0</v>
      </c>
      <c r="T19" s="135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1"/>
        <v>0</v>
      </c>
    </row>
    <row r="20" spans="1:25">
      <c r="A20" s="135">
        <v>16</v>
      </c>
      <c r="B20" s="135">
        <f t="shared" si="2"/>
        <v>16</v>
      </c>
      <c r="C20" s="135">
        <f t="shared" si="3"/>
        <v>7216</v>
      </c>
      <c r="D20" s="169">
        <f t="shared" si="4"/>
        <v>0.30199999999999999</v>
      </c>
      <c r="E20" s="136">
        <f t="shared" si="21"/>
        <v>4</v>
      </c>
      <c r="F20" s="136">
        <f t="shared" si="21"/>
        <v>4</v>
      </c>
      <c r="G20" s="136">
        <f t="shared" si="21"/>
        <v>4</v>
      </c>
      <c r="H20" s="136">
        <f t="shared" ref="H20" si="26">H19+1</f>
        <v>4</v>
      </c>
      <c r="I20" s="135">
        <f t="shared" ref="I20" si="27">I17+5</f>
        <v>30</v>
      </c>
      <c r="J20" s="135">
        <f t="shared" si="12"/>
        <v>5</v>
      </c>
      <c r="K20" s="135">
        <f t="shared" si="12"/>
        <v>5</v>
      </c>
      <c r="L20" s="135">
        <v>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3">
        <f t="shared" si="0"/>
        <v>0</v>
      </c>
      <c r="S20" s="135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1"/>
        <v>0</v>
      </c>
    </row>
    <row r="21" spans="1:25">
      <c r="A21" s="135">
        <v>17</v>
      </c>
      <c r="B21" s="135">
        <f t="shared" si="2"/>
        <v>17</v>
      </c>
      <c r="C21" s="135">
        <f t="shared" si="3"/>
        <v>9410</v>
      </c>
      <c r="D21" s="169">
        <f t="shared" si="4"/>
        <v>0.30399999999999999</v>
      </c>
      <c r="E21" s="136">
        <f t="shared" ref="E21" si="28">E20+1</f>
        <v>5</v>
      </c>
      <c r="F21" s="136">
        <f t="shared" si="21"/>
        <v>4</v>
      </c>
      <c r="G21" s="136">
        <f t="shared" si="21"/>
        <v>4</v>
      </c>
      <c r="H21" s="136">
        <f t="shared" si="21"/>
        <v>4</v>
      </c>
      <c r="I21" s="135">
        <f t="shared" si="21"/>
        <v>30</v>
      </c>
      <c r="J21" s="135">
        <f t="shared" ref="J21" si="29">J20+1</f>
        <v>6</v>
      </c>
      <c r="K21" s="135">
        <f t="shared" si="12"/>
        <v>5</v>
      </c>
      <c r="L21" s="135">
        <v>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3">
        <f t="shared" si="0"/>
        <v>0</v>
      </c>
      <c r="S21" s="135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1"/>
        <v>0</v>
      </c>
    </row>
    <row r="22" spans="1:25">
      <c r="A22" s="135">
        <v>18</v>
      </c>
      <c r="B22" s="135">
        <f t="shared" si="2"/>
        <v>18</v>
      </c>
      <c r="C22" s="135">
        <f t="shared" si="3"/>
        <v>12289</v>
      </c>
      <c r="D22" s="169">
        <f t="shared" si="4"/>
        <v>0.30599999999999999</v>
      </c>
      <c r="E22" s="136">
        <f t="shared" ref="E22:G24" si="30">E21</f>
        <v>5</v>
      </c>
      <c r="F22" s="136">
        <f t="shared" ref="F22" si="31">F21+1</f>
        <v>5</v>
      </c>
      <c r="G22" s="136">
        <f t="shared" si="21"/>
        <v>4</v>
      </c>
      <c r="H22" s="136">
        <f t="shared" si="21"/>
        <v>4</v>
      </c>
      <c r="I22" s="135">
        <f t="shared" si="21"/>
        <v>30</v>
      </c>
      <c r="J22" s="135">
        <f t="shared" si="21"/>
        <v>6</v>
      </c>
      <c r="K22" s="135">
        <f t="shared" ref="K22" si="32">K21+1</f>
        <v>6</v>
      </c>
      <c r="L22" s="135">
        <v>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3">
        <f t="shared" si="0"/>
        <v>0</v>
      </c>
      <c r="S22" s="135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1"/>
        <v>0</v>
      </c>
    </row>
    <row r="23" spans="1:25">
      <c r="A23" s="135">
        <v>19</v>
      </c>
      <c r="B23" s="135">
        <f t="shared" si="2"/>
        <v>19</v>
      </c>
      <c r="C23" s="135">
        <f t="shared" si="3"/>
        <v>16074</v>
      </c>
      <c r="D23" s="169">
        <f t="shared" si="4"/>
        <v>0.308</v>
      </c>
      <c r="E23" s="136">
        <f t="shared" si="30"/>
        <v>5</v>
      </c>
      <c r="F23" s="136">
        <f t="shared" si="30"/>
        <v>5</v>
      </c>
      <c r="G23" s="136">
        <f t="shared" ref="G23" si="33">G22+1</f>
        <v>5</v>
      </c>
      <c r="H23" s="136">
        <f t="shared" si="21"/>
        <v>4</v>
      </c>
      <c r="I23" s="135">
        <f t="shared" ref="I23" si="34">I20+5</f>
        <v>35</v>
      </c>
      <c r="J23" s="135">
        <f t="shared" si="21"/>
        <v>6</v>
      </c>
      <c r="K23" s="135">
        <f t="shared" si="21"/>
        <v>6</v>
      </c>
      <c r="L23" s="135">
        <v>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3">
        <f t="shared" si="0"/>
        <v>0</v>
      </c>
      <c r="S23" s="135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1"/>
        <v>0</v>
      </c>
    </row>
    <row r="24" spans="1:25">
      <c r="A24" s="135">
        <v>20</v>
      </c>
      <c r="B24" s="135">
        <f t="shared" si="2"/>
        <v>20</v>
      </c>
      <c r="C24" s="135">
        <f t="shared" si="3"/>
        <v>21057</v>
      </c>
      <c r="D24" s="169">
        <f t="shared" si="4"/>
        <v>0.31</v>
      </c>
      <c r="E24" s="136">
        <f t="shared" si="30"/>
        <v>5</v>
      </c>
      <c r="F24" s="136">
        <f t="shared" si="30"/>
        <v>5</v>
      </c>
      <c r="G24" s="136">
        <f t="shared" si="30"/>
        <v>5</v>
      </c>
      <c r="H24" s="136">
        <f t="shared" ref="H24" si="35">H23+1</f>
        <v>5</v>
      </c>
      <c r="I24" s="135">
        <f t="shared" ref="I24" si="36">I23</f>
        <v>35</v>
      </c>
      <c r="J24" s="135">
        <f t="shared" ref="J24" si="37">J23+1</f>
        <v>7</v>
      </c>
      <c r="K24" s="135">
        <f t="shared" si="21"/>
        <v>6</v>
      </c>
      <c r="L24" s="135">
        <v>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3">
        <f t="shared" si="0"/>
        <v>0</v>
      </c>
      <c r="S24" s="135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1"/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G61"/>
  <sheetViews>
    <sheetView zoomScale="85" zoomScaleNormal="85" workbookViewId="0">
      <pane ySplit="3" topLeftCell="A4" activePane="bottomLeft" state="frozen"/>
      <selection activeCell="AC80" sqref="AC79:AC80"/>
      <selection pane="bottomLeft" activeCell="B5" sqref="B5"/>
    </sheetView>
  </sheetViews>
  <sheetFormatPr defaultRowHeight="13.5"/>
  <cols>
    <col min="1" max="3" width="9" style="135"/>
    <col min="4" max="4" width="8.75" style="135" customWidth="1"/>
    <col min="5" max="5" width="8.75" style="162" customWidth="1"/>
    <col min="6" max="6" width="8.75" style="135" customWidth="1"/>
    <col min="7" max="7" width="11.5" style="135" bestFit="1" customWidth="1"/>
    <col min="8" max="8" width="12.25" style="121" bestFit="1" customWidth="1"/>
    <col min="9" max="12" width="9" style="135"/>
    <col min="13" max="13" width="9" style="133"/>
    <col min="14" max="14" width="8.375" style="135" bestFit="1" customWidth="1"/>
    <col min="15" max="15" width="8.75" style="135" bestFit="1" customWidth="1"/>
    <col min="16" max="16" width="12.25" style="135" bestFit="1" customWidth="1"/>
    <col min="17" max="18" width="9" style="135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28" width="9.625" style="135" bestFit="1" customWidth="1"/>
    <col min="29" max="29" width="11.375" style="135" bestFit="1" customWidth="1"/>
    <col min="30" max="31" width="9.625" style="135" bestFit="1" customWidth="1"/>
    <col min="32" max="32" width="9.625" style="133" customWidth="1"/>
    <col min="33" max="16384" width="9" style="135"/>
  </cols>
  <sheetData>
    <row r="1" spans="1:33" s="134" customFormat="1">
      <c r="A1" s="134" t="s">
        <v>681</v>
      </c>
      <c r="B1" s="134" t="s">
        <v>682</v>
      </c>
      <c r="C1" s="134" t="s">
        <v>683</v>
      </c>
      <c r="D1" s="134" t="s">
        <v>684</v>
      </c>
      <c r="E1" s="160" t="s">
        <v>1225</v>
      </c>
      <c r="F1" s="134" t="s">
        <v>685</v>
      </c>
      <c r="G1" s="134" t="s">
        <v>686</v>
      </c>
      <c r="H1" s="126" t="s">
        <v>687</v>
      </c>
      <c r="I1" s="134" t="s">
        <v>688</v>
      </c>
      <c r="J1" s="134" t="s">
        <v>689</v>
      </c>
      <c r="K1" s="134" t="s">
        <v>690</v>
      </c>
      <c r="L1" s="134" t="s">
        <v>691</v>
      </c>
      <c r="M1" s="126" t="s">
        <v>692</v>
      </c>
      <c r="N1" s="134" t="s">
        <v>249</v>
      </c>
      <c r="O1" s="134" t="s">
        <v>250</v>
      </c>
      <c r="P1" s="134" t="s">
        <v>693</v>
      </c>
      <c r="Q1" s="134" t="s">
        <v>227</v>
      </c>
      <c r="R1" s="134" t="s">
        <v>228</v>
      </c>
      <c r="S1" s="134" t="s">
        <v>694</v>
      </c>
      <c r="T1" s="134" t="s">
        <v>695</v>
      </c>
      <c r="U1" s="134" t="s">
        <v>696</v>
      </c>
      <c r="V1" s="134" t="s">
        <v>697</v>
      </c>
      <c r="W1" s="134" t="s">
        <v>698</v>
      </c>
      <c r="X1" s="134" t="s">
        <v>699</v>
      </c>
      <c r="Y1" s="126" t="s">
        <v>700</v>
      </c>
      <c r="Z1" s="134" t="s">
        <v>412</v>
      </c>
      <c r="AA1" s="134" t="s">
        <v>413</v>
      </c>
      <c r="AB1" s="134" t="s">
        <v>414</v>
      </c>
      <c r="AC1" s="134" t="s">
        <v>415</v>
      </c>
      <c r="AD1" s="134" t="s">
        <v>416</v>
      </c>
      <c r="AE1" s="134" t="s">
        <v>417</v>
      </c>
      <c r="AF1" s="126" t="s">
        <v>701</v>
      </c>
      <c r="AG1" s="134" t="s">
        <v>702</v>
      </c>
    </row>
    <row r="2" spans="1:33" s="134" customFormat="1" ht="15.75" customHeight="1">
      <c r="A2" s="134" t="s">
        <v>703</v>
      </c>
      <c r="B2" s="134" t="s">
        <v>704</v>
      </c>
      <c r="C2" s="134" t="s">
        <v>705</v>
      </c>
      <c r="D2" s="134" t="s">
        <v>706</v>
      </c>
      <c r="E2" s="160"/>
      <c r="F2" s="134" t="s">
        <v>707</v>
      </c>
      <c r="G2" s="134" t="s">
        <v>708</v>
      </c>
      <c r="H2" s="126"/>
      <c r="I2" s="134" t="s">
        <v>1237</v>
      </c>
      <c r="J2" s="134" t="s">
        <v>1238</v>
      </c>
      <c r="K2" s="134" t="s">
        <v>1239</v>
      </c>
      <c r="L2" s="134" t="s">
        <v>1240</v>
      </c>
      <c r="M2" s="126" t="s">
        <v>709</v>
      </c>
      <c r="N2" s="134" t="s">
        <v>246</v>
      </c>
      <c r="O2" s="134" t="s">
        <v>247</v>
      </c>
      <c r="P2" s="134" t="s">
        <v>248</v>
      </c>
      <c r="Q2" s="134" t="s">
        <v>226</v>
      </c>
      <c r="R2" s="134" t="s">
        <v>710</v>
      </c>
      <c r="S2" s="138" t="s">
        <v>674</v>
      </c>
      <c r="T2" s="139" t="s">
        <v>675</v>
      </c>
      <c r="U2" s="139" t="s">
        <v>676</v>
      </c>
      <c r="V2" s="139" t="s">
        <v>677</v>
      </c>
      <c r="W2" s="139" t="s">
        <v>678</v>
      </c>
      <c r="X2" s="139" t="s">
        <v>679</v>
      </c>
      <c r="Y2" s="126"/>
      <c r="Z2" s="139" t="s">
        <v>542</v>
      </c>
      <c r="AA2" s="139" t="s">
        <v>315</v>
      </c>
      <c r="AB2" s="139" t="s">
        <v>316</v>
      </c>
      <c r="AC2" s="139" t="s">
        <v>317</v>
      </c>
      <c r="AD2" s="139" t="s">
        <v>318</v>
      </c>
      <c r="AE2" s="139" t="s">
        <v>319</v>
      </c>
      <c r="AF2" s="126"/>
      <c r="AG2" s="134" t="s">
        <v>711</v>
      </c>
    </row>
    <row r="3" spans="1:33" s="134" customFormat="1">
      <c r="A3" s="134" t="s">
        <v>670</v>
      </c>
      <c r="B3" s="134" t="s">
        <v>1328</v>
      </c>
      <c r="C3" s="134" t="s">
        <v>670</v>
      </c>
      <c r="D3" s="134" t="s">
        <v>670</v>
      </c>
      <c r="E3" s="160"/>
      <c r="F3" s="134" t="s">
        <v>1328</v>
      </c>
      <c r="G3" s="134" t="s">
        <v>670</v>
      </c>
      <c r="H3" s="126"/>
      <c r="I3" s="134" t="s">
        <v>1328</v>
      </c>
      <c r="J3" s="134" t="s">
        <v>1328</v>
      </c>
      <c r="K3" s="134" t="s">
        <v>1328</v>
      </c>
      <c r="L3" s="134" t="s">
        <v>1328</v>
      </c>
      <c r="M3" s="126"/>
      <c r="N3" s="134" t="s">
        <v>14</v>
      </c>
      <c r="O3" s="134" t="s">
        <v>14</v>
      </c>
      <c r="P3" s="134" t="s">
        <v>14</v>
      </c>
      <c r="Q3" s="134" t="s">
        <v>1328</v>
      </c>
      <c r="R3" s="134" t="s">
        <v>1328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26"/>
      <c r="Z3" s="134" t="s">
        <v>670</v>
      </c>
      <c r="AA3" s="134" t="s">
        <v>670</v>
      </c>
      <c r="AB3" s="134" t="s">
        <v>670</v>
      </c>
      <c r="AC3" s="134" t="s">
        <v>670</v>
      </c>
      <c r="AD3" s="134" t="s">
        <v>670</v>
      </c>
      <c r="AE3" s="134" t="s">
        <v>670</v>
      </c>
      <c r="AF3" s="126"/>
      <c r="AG3" s="134" t="s">
        <v>670</v>
      </c>
    </row>
    <row r="4" spans="1:33" s="119" customFormat="1">
      <c r="A4" s="119" t="s">
        <v>1226</v>
      </c>
      <c r="E4" s="161"/>
      <c r="H4" s="120"/>
      <c r="M4" s="127"/>
      <c r="Y4" s="127"/>
      <c r="AF4" s="127"/>
    </row>
    <row r="5" spans="1:33">
      <c r="A5" s="135">
        <v>1</v>
      </c>
      <c r="B5" s="135">
        <v>1</v>
      </c>
      <c r="C5" s="135">
        <v>1</v>
      </c>
      <c r="D5" s="135">
        <v>0</v>
      </c>
      <c r="E5" s="166">
        <v>0</v>
      </c>
      <c r="F5" s="135">
        <v>20</v>
      </c>
      <c r="G5" s="135">
        <v>600000</v>
      </c>
      <c r="H5" s="121">
        <f>G5/1000</f>
        <v>600</v>
      </c>
      <c r="I5" s="135">
        <v>3</v>
      </c>
      <c r="J5" s="135">
        <v>2</v>
      </c>
      <c r="K5" s="135">
        <v>3</v>
      </c>
      <c r="L5" s="135">
        <v>1</v>
      </c>
      <c r="M5" s="133">
        <f t="shared" ref="M5:M54" si="0">SUM(I5:L5)</f>
        <v>9</v>
      </c>
      <c r="N5" s="136">
        <v>100</v>
      </c>
      <c r="O5" s="136">
        <v>100</v>
      </c>
      <c r="P5" s="136">
        <v>5</v>
      </c>
      <c r="Q5" s="136">
        <v>5</v>
      </c>
      <c r="R5" s="136">
        <v>3</v>
      </c>
      <c r="S5" s="136">
        <v>0</v>
      </c>
      <c r="T5" s="136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3">
        <f>SUM(Z5:AE5)</f>
        <v>0</v>
      </c>
      <c r="AG5" s="149">
        <v>20001</v>
      </c>
    </row>
    <row r="6" spans="1:33">
      <c r="A6" s="135">
        <v>2</v>
      </c>
      <c r="B6" s="135">
        <v>2</v>
      </c>
      <c r="C6" s="135">
        <f>C5</f>
        <v>1</v>
      </c>
      <c r="D6" s="135">
        <v>100</v>
      </c>
      <c r="E6" s="167">
        <v>0</v>
      </c>
      <c r="F6" s="135">
        <v>20</v>
      </c>
      <c r="G6" s="135">
        <v>600000</v>
      </c>
      <c r="H6" s="121">
        <f t="shared" ref="H6:H54" si="1">G6/1000</f>
        <v>600</v>
      </c>
      <c r="I6" s="135">
        <f>I5+1</f>
        <v>4</v>
      </c>
      <c r="J6" s="135">
        <f t="shared" ref="J6:L6" si="2">J5+0</f>
        <v>2</v>
      </c>
      <c r="K6" s="135">
        <f t="shared" si="2"/>
        <v>3</v>
      </c>
      <c r="L6" s="135">
        <f t="shared" si="2"/>
        <v>1</v>
      </c>
      <c r="M6" s="133">
        <f t="shared" si="0"/>
        <v>10</v>
      </c>
      <c r="N6" s="136">
        <v>102</v>
      </c>
      <c r="O6" s="136">
        <v>100</v>
      </c>
      <c r="P6" s="136">
        <v>5</v>
      </c>
      <c r="Q6" s="136">
        <v>5</v>
      </c>
      <c r="R6" s="136">
        <v>3</v>
      </c>
      <c r="S6" s="136">
        <v>0</v>
      </c>
      <c r="T6" s="136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54" si="3">SUM(S6:X6)</f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3">
        <f t="shared" ref="AF6:AF54" si="4">SUM(Z6:AE6)</f>
        <v>0</v>
      </c>
      <c r="AG6" s="149">
        <v>20001</v>
      </c>
    </row>
    <row r="7" spans="1:33">
      <c r="A7" s="135">
        <v>3</v>
      </c>
      <c r="B7" s="135">
        <v>3</v>
      </c>
      <c r="C7" s="135">
        <f t="shared" ref="C7:C54" si="5">C6</f>
        <v>1</v>
      </c>
      <c r="D7" s="135">
        <f>ROUND(D6*(E7+1),0)</f>
        <v>110</v>
      </c>
      <c r="E7" s="168">
        <v>0.1</v>
      </c>
      <c r="F7" s="135">
        <v>20</v>
      </c>
      <c r="G7" s="135">
        <v>600000</v>
      </c>
      <c r="H7" s="121">
        <f t="shared" si="1"/>
        <v>600</v>
      </c>
      <c r="I7" s="135">
        <f t="shared" ref="I7:K22" si="6">I6+1</f>
        <v>5</v>
      </c>
      <c r="J7" s="135">
        <f>J6+1</f>
        <v>3</v>
      </c>
      <c r="K7" s="135">
        <f>K6+1</f>
        <v>4</v>
      </c>
      <c r="L7" s="135">
        <f>L6+0</f>
        <v>1</v>
      </c>
      <c r="M7" s="133">
        <f t="shared" si="0"/>
        <v>13</v>
      </c>
      <c r="N7" s="136">
        <v>104</v>
      </c>
      <c r="O7" s="136">
        <v>100</v>
      </c>
      <c r="P7" s="136">
        <v>5</v>
      </c>
      <c r="Q7" s="136">
        <v>5</v>
      </c>
      <c r="R7" s="136">
        <v>3</v>
      </c>
      <c r="S7" s="136">
        <v>0</v>
      </c>
      <c r="T7" s="136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3"/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3">
        <f t="shared" si="4"/>
        <v>0</v>
      </c>
      <c r="AG7" s="149">
        <v>20001</v>
      </c>
    </row>
    <row r="8" spans="1:33">
      <c r="A8" s="135">
        <v>4</v>
      </c>
      <c r="B8" s="135">
        <v>4</v>
      </c>
      <c r="C8" s="135">
        <f t="shared" si="5"/>
        <v>1</v>
      </c>
      <c r="D8" s="135">
        <f t="shared" ref="D8:D54" si="7">ROUND(D7*(E8+1),0)</f>
        <v>121</v>
      </c>
      <c r="E8" s="169">
        <f>E7+0.2%</f>
        <v>0.10200000000000001</v>
      </c>
      <c r="F8" s="135">
        <v>20</v>
      </c>
      <c r="G8" s="135">
        <v>600000</v>
      </c>
      <c r="H8" s="121">
        <f t="shared" si="1"/>
        <v>600</v>
      </c>
      <c r="I8" s="135">
        <f t="shared" si="6"/>
        <v>6</v>
      </c>
      <c r="J8" s="135">
        <f>J7+0</f>
        <v>3</v>
      </c>
      <c r="K8" s="135">
        <f t="shared" ref="K8" si="8">K7+0</f>
        <v>4</v>
      </c>
      <c r="L8" s="135">
        <f>L7+1</f>
        <v>2</v>
      </c>
      <c r="M8" s="133">
        <f t="shared" si="0"/>
        <v>15</v>
      </c>
      <c r="N8" s="136">
        <v>106</v>
      </c>
      <c r="O8" s="136">
        <v>100</v>
      </c>
      <c r="P8" s="136">
        <v>5</v>
      </c>
      <c r="Q8" s="136">
        <v>5</v>
      </c>
      <c r="R8" s="136">
        <v>3</v>
      </c>
      <c r="S8" s="136">
        <v>0</v>
      </c>
      <c r="T8" s="136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3"/>
        <v>0</v>
      </c>
      <c r="Z8" s="135">
        <v>0</v>
      </c>
      <c r="AA8" s="135">
        <v>0</v>
      </c>
      <c r="AB8" s="135">
        <v>0</v>
      </c>
      <c r="AC8" s="135">
        <v>0</v>
      </c>
      <c r="AD8" s="135">
        <v>0</v>
      </c>
      <c r="AE8" s="135">
        <v>0</v>
      </c>
      <c r="AF8" s="133">
        <f t="shared" si="4"/>
        <v>0</v>
      </c>
      <c r="AG8" s="149">
        <v>20001</v>
      </c>
    </row>
    <row r="9" spans="1:33">
      <c r="A9" s="135">
        <v>5</v>
      </c>
      <c r="B9" s="135">
        <v>5</v>
      </c>
      <c r="C9" s="135">
        <f t="shared" si="5"/>
        <v>1</v>
      </c>
      <c r="D9" s="135">
        <f t="shared" si="7"/>
        <v>134</v>
      </c>
      <c r="E9" s="169">
        <f t="shared" ref="E9:E53" si="9">E8+0.2%</f>
        <v>0.10400000000000001</v>
      </c>
      <c r="F9" s="135">
        <v>20</v>
      </c>
      <c r="G9" s="135">
        <v>600000</v>
      </c>
      <c r="H9" s="121">
        <f t="shared" si="1"/>
        <v>600</v>
      </c>
      <c r="I9" s="135">
        <f t="shared" si="6"/>
        <v>7</v>
      </c>
      <c r="J9" s="135">
        <f>J8+1</f>
        <v>4</v>
      </c>
      <c r="K9" s="135">
        <f t="shared" ref="K9" si="10">K8+1</f>
        <v>5</v>
      </c>
      <c r="L9" s="135">
        <f t="shared" ref="L9:L10" si="11">L8+0</f>
        <v>2</v>
      </c>
      <c r="M9" s="133">
        <f t="shared" si="0"/>
        <v>18</v>
      </c>
      <c r="N9" s="136">
        <v>108</v>
      </c>
      <c r="O9" s="136">
        <v>100</v>
      </c>
      <c r="P9" s="136">
        <v>5</v>
      </c>
      <c r="Q9" s="136">
        <v>5</v>
      </c>
      <c r="R9" s="136">
        <v>3</v>
      </c>
      <c r="S9" s="136">
        <v>0</v>
      </c>
      <c r="T9" s="136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3"/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3">
        <f t="shared" si="4"/>
        <v>0</v>
      </c>
      <c r="AG9" s="149">
        <v>20001</v>
      </c>
    </row>
    <row r="10" spans="1:33">
      <c r="A10" s="135">
        <v>6</v>
      </c>
      <c r="B10" s="135">
        <v>6</v>
      </c>
      <c r="C10" s="135">
        <f t="shared" si="5"/>
        <v>1</v>
      </c>
      <c r="D10" s="135">
        <f t="shared" si="7"/>
        <v>147</v>
      </c>
      <c r="E10" s="169">
        <v>0.1</v>
      </c>
      <c r="F10" s="135">
        <v>20</v>
      </c>
      <c r="G10" s="135">
        <v>600000</v>
      </c>
      <c r="H10" s="121">
        <f t="shared" si="1"/>
        <v>600</v>
      </c>
      <c r="I10" s="135">
        <f t="shared" si="6"/>
        <v>8</v>
      </c>
      <c r="J10" s="135">
        <f>J9+0</f>
        <v>4</v>
      </c>
      <c r="K10" s="135">
        <f t="shared" ref="K10" si="12">K9+0</f>
        <v>5</v>
      </c>
      <c r="L10" s="135">
        <f t="shared" si="11"/>
        <v>2</v>
      </c>
      <c r="M10" s="133">
        <f t="shared" si="0"/>
        <v>19</v>
      </c>
      <c r="N10" s="136">
        <v>110</v>
      </c>
      <c r="O10" s="136">
        <v>100</v>
      </c>
      <c r="P10" s="136">
        <v>5</v>
      </c>
      <c r="Q10" s="136">
        <v>1</v>
      </c>
      <c r="R10" s="136">
        <v>1</v>
      </c>
      <c r="S10" s="136">
        <v>0</v>
      </c>
      <c r="T10" s="136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3"/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3">
        <f t="shared" si="4"/>
        <v>0</v>
      </c>
      <c r="AG10" s="149">
        <v>20001</v>
      </c>
    </row>
    <row r="11" spans="1:33">
      <c r="A11" s="135">
        <v>7</v>
      </c>
      <c r="B11" s="135">
        <v>7</v>
      </c>
      <c r="C11" s="135">
        <f t="shared" si="5"/>
        <v>1</v>
      </c>
      <c r="D11" s="135">
        <f t="shared" si="7"/>
        <v>373</v>
      </c>
      <c r="E11" s="169">
        <v>1.54</v>
      </c>
      <c r="F11" s="135">
        <v>20</v>
      </c>
      <c r="G11" s="135">
        <v>600000</v>
      </c>
      <c r="H11" s="121">
        <f t="shared" si="1"/>
        <v>600</v>
      </c>
      <c r="I11" s="135">
        <f t="shared" si="6"/>
        <v>9</v>
      </c>
      <c r="J11" s="135">
        <f>J10+1</f>
        <v>5</v>
      </c>
      <c r="K11" s="135">
        <f t="shared" ref="K11:L11" si="13">K10+1</f>
        <v>6</v>
      </c>
      <c r="L11" s="135">
        <f t="shared" si="13"/>
        <v>3</v>
      </c>
      <c r="M11" s="133">
        <f t="shared" si="0"/>
        <v>23</v>
      </c>
      <c r="N11" s="136">
        <v>112</v>
      </c>
      <c r="O11" s="136">
        <v>100</v>
      </c>
      <c r="P11" s="136">
        <v>5</v>
      </c>
      <c r="Q11" s="136">
        <v>1</v>
      </c>
      <c r="R11" s="136">
        <v>0</v>
      </c>
      <c r="S11" s="136">
        <v>0</v>
      </c>
      <c r="T11" s="136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3"/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3">
        <f t="shared" si="4"/>
        <v>0</v>
      </c>
      <c r="AG11" s="149">
        <v>20001</v>
      </c>
    </row>
    <row r="12" spans="1:33">
      <c r="A12" s="135">
        <v>8</v>
      </c>
      <c r="B12" s="135">
        <v>8</v>
      </c>
      <c r="C12" s="135">
        <f t="shared" si="5"/>
        <v>1</v>
      </c>
      <c r="D12" s="135">
        <f t="shared" si="7"/>
        <v>410</v>
      </c>
      <c r="E12" s="169">
        <v>0.1</v>
      </c>
      <c r="F12" s="135">
        <v>20</v>
      </c>
      <c r="G12" s="135">
        <v>600000</v>
      </c>
      <c r="H12" s="121">
        <f t="shared" si="1"/>
        <v>600</v>
      </c>
      <c r="I12" s="135">
        <f t="shared" si="6"/>
        <v>10</v>
      </c>
      <c r="J12" s="135">
        <f>J11+0</f>
        <v>5</v>
      </c>
      <c r="K12" s="135">
        <f t="shared" ref="K12:L13" si="14">K11+0</f>
        <v>6</v>
      </c>
      <c r="L12" s="135">
        <f t="shared" si="14"/>
        <v>3</v>
      </c>
      <c r="M12" s="133">
        <f t="shared" si="0"/>
        <v>24</v>
      </c>
      <c r="N12" s="136">
        <v>114</v>
      </c>
      <c r="O12" s="136">
        <v>100</v>
      </c>
      <c r="P12" s="136">
        <v>5</v>
      </c>
      <c r="Q12" s="136">
        <v>1</v>
      </c>
      <c r="R12" s="136">
        <v>0</v>
      </c>
      <c r="S12" s="136">
        <v>0</v>
      </c>
      <c r="T12" s="136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3"/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3">
        <f t="shared" si="4"/>
        <v>0</v>
      </c>
      <c r="AG12" s="149">
        <v>20001</v>
      </c>
    </row>
    <row r="13" spans="1:33">
      <c r="A13" s="135">
        <v>9</v>
      </c>
      <c r="B13" s="135">
        <v>9</v>
      </c>
      <c r="C13" s="135">
        <f t="shared" si="5"/>
        <v>1</v>
      </c>
      <c r="D13" s="135">
        <f t="shared" si="7"/>
        <v>452</v>
      </c>
      <c r="E13" s="169">
        <f t="shared" si="9"/>
        <v>0.10200000000000001</v>
      </c>
      <c r="F13" s="135">
        <v>20</v>
      </c>
      <c r="G13" s="135">
        <v>600000</v>
      </c>
      <c r="H13" s="121">
        <f t="shared" si="1"/>
        <v>600</v>
      </c>
      <c r="I13" s="135">
        <f t="shared" si="6"/>
        <v>11</v>
      </c>
      <c r="J13" s="135">
        <f>J12+1</f>
        <v>6</v>
      </c>
      <c r="K13" s="135">
        <f t="shared" ref="K13" si="15">K12+1</f>
        <v>7</v>
      </c>
      <c r="L13" s="135">
        <f t="shared" si="14"/>
        <v>3</v>
      </c>
      <c r="M13" s="133">
        <f t="shared" si="0"/>
        <v>27</v>
      </c>
      <c r="N13" s="136">
        <v>116</v>
      </c>
      <c r="O13" s="136">
        <v>100</v>
      </c>
      <c r="P13" s="136">
        <v>5</v>
      </c>
      <c r="Q13" s="136">
        <v>1</v>
      </c>
      <c r="R13" s="136">
        <v>1</v>
      </c>
      <c r="S13" s="136">
        <v>0</v>
      </c>
      <c r="T13" s="136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3"/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3">
        <f t="shared" si="4"/>
        <v>0</v>
      </c>
      <c r="AG13" s="149">
        <v>20001</v>
      </c>
    </row>
    <row r="14" spans="1:33">
      <c r="A14" s="135">
        <v>10</v>
      </c>
      <c r="B14" s="135">
        <v>10</v>
      </c>
      <c r="C14" s="135">
        <f t="shared" si="5"/>
        <v>1</v>
      </c>
      <c r="D14" s="135">
        <f t="shared" si="7"/>
        <v>499</v>
      </c>
      <c r="E14" s="169">
        <f t="shared" si="9"/>
        <v>0.10400000000000001</v>
      </c>
      <c r="F14" s="135">
        <v>20</v>
      </c>
      <c r="G14" s="135">
        <v>600000</v>
      </c>
      <c r="H14" s="121">
        <f t="shared" si="1"/>
        <v>600</v>
      </c>
      <c r="I14" s="135">
        <f t="shared" si="6"/>
        <v>12</v>
      </c>
      <c r="J14" s="135">
        <f>J13+0</f>
        <v>6</v>
      </c>
      <c r="K14" s="135">
        <f t="shared" ref="K14" si="16">K13+0</f>
        <v>7</v>
      </c>
      <c r="L14" s="135">
        <f t="shared" ref="L14" si="17">L13+1</f>
        <v>4</v>
      </c>
      <c r="M14" s="133">
        <f t="shared" si="0"/>
        <v>29</v>
      </c>
      <c r="N14" s="136">
        <v>118</v>
      </c>
      <c r="O14" s="136">
        <v>100</v>
      </c>
      <c r="P14" s="136">
        <v>5</v>
      </c>
      <c r="Q14" s="136">
        <v>1</v>
      </c>
      <c r="R14" s="136">
        <v>0</v>
      </c>
      <c r="S14" s="136">
        <v>0</v>
      </c>
      <c r="T14" s="136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3"/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3">
        <f t="shared" si="4"/>
        <v>0</v>
      </c>
      <c r="AG14" s="149">
        <v>20001</v>
      </c>
    </row>
    <row r="15" spans="1:33">
      <c r="A15" s="135">
        <v>11</v>
      </c>
      <c r="B15" s="135">
        <v>11</v>
      </c>
      <c r="C15" s="135">
        <f t="shared" si="5"/>
        <v>1</v>
      </c>
      <c r="D15" s="135">
        <f t="shared" si="7"/>
        <v>552</v>
      </c>
      <c r="E15" s="169">
        <f t="shared" si="9"/>
        <v>0.10600000000000001</v>
      </c>
      <c r="F15" s="135">
        <v>20</v>
      </c>
      <c r="G15" s="135">
        <v>600000</v>
      </c>
      <c r="H15" s="121">
        <f t="shared" si="1"/>
        <v>600</v>
      </c>
      <c r="I15" s="135">
        <f t="shared" si="6"/>
        <v>13</v>
      </c>
      <c r="J15" s="135">
        <f>J14+1</f>
        <v>7</v>
      </c>
      <c r="K15" s="135">
        <f t="shared" ref="K15" si="18">K14+1</f>
        <v>8</v>
      </c>
      <c r="L15" s="135">
        <f t="shared" ref="L15:L16" si="19">L14+0</f>
        <v>4</v>
      </c>
      <c r="M15" s="133">
        <f t="shared" si="0"/>
        <v>32</v>
      </c>
      <c r="N15" s="136">
        <v>120</v>
      </c>
      <c r="O15" s="136">
        <v>100</v>
      </c>
      <c r="P15" s="136">
        <v>5</v>
      </c>
      <c r="Q15" s="136">
        <v>1</v>
      </c>
      <c r="R15" s="136">
        <v>0</v>
      </c>
      <c r="S15" s="136">
        <v>0</v>
      </c>
      <c r="T15" s="136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3"/>
        <v>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3">
        <f t="shared" si="4"/>
        <v>0</v>
      </c>
      <c r="AG15" s="149">
        <v>20001</v>
      </c>
    </row>
    <row r="16" spans="1:33">
      <c r="A16" s="135">
        <v>12</v>
      </c>
      <c r="B16" s="135">
        <v>12</v>
      </c>
      <c r="C16" s="135">
        <f t="shared" si="5"/>
        <v>1</v>
      </c>
      <c r="D16" s="135">
        <f t="shared" si="7"/>
        <v>612</v>
      </c>
      <c r="E16" s="169">
        <f t="shared" si="9"/>
        <v>0.10800000000000001</v>
      </c>
      <c r="F16" s="135">
        <v>20</v>
      </c>
      <c r="G16" s="135">
        <v>600000</v>
      </c>
      <c r="H16" s="121">
        <f t="shared" si="1"/>
        <v>600</v>
      </c>
      <c r="I16" s="135">
        <f t="shared" si="6"/>
        <v>14</v>
      </c>
      <c r="J16" s="135">
        <f>J15+0</f>
        <v>7</v>
      </c>
      <c r="K16" s="135">
        <f t="shared" ref="K16" si="20">K15+0</f>
        <v>8</v>
      </c>
      <c r="L16" s="135">
        <f t="shared" si="19"/>
        <v>4</v>
      </c>
      <c r="M16" s="133">
        <f t="shared" si="0"/>
        <v>33</v>
      </c>
      <c r="N16" s="136">
        <v>122</v>
      </c>
      <c r="O16" s="136">
        <v>100</v>
      </c>
      <c r="P16" s="136">
        <v>5</v>
      </c>
      <c r="Q16" s="136">
        <v>1</v>
      </c>
      <c r="R16" s="136">
        <v>1</v>
      </c>
      <c r="S16" s="136">
        <v>0</v>
      </c>
      <c r="T16" s="136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3"/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3">
        <f t="shared" si="4"/>
        <v>0</v>
      </c>
      <c r="AG16" s="149">
        <v>20001</v>
      </c>
    </row>
    <row r="17" spans="1:33">
      <c r="A17" s="135">
        <v>13</v>
      </c>
      <c r="B17" s="135">
        <v>13</v>
      </c>
      <c r="C17" s="135">
        <f t="shared" si="5"/>
        <v>1</v>
      </c>
      <c r="D17" s="135">
        <f t="shared" si="7"/>
        <v>679</v>
      </c>
      <c r="E17" s="169">
        <f t="shared" si="9"/>
        <v>0.11000000000000001</v>
      </c>
      <c r="F17" s="135">
        <v>20</v>
      </c>
      <c r="G17" s="135">
        <v>600000</v>
      </c>
      <c r="H17" s="121">
        <f t="shared" si="1"/>
        <v>600</v>
      </c>
      <c r="I17" s="135">
        <f t="shared" si="6"/>
        <v>15</v>
      </c>
      <c r="J17" s="135">
        <f>J16+1</f>
        <v>8</v>
      </c>
      <c r="K17" s="135">
        <f t="shared" ref="K17:L17" si="21">K16+1</f>
        <v>9</v>
      </c>
      <c r="L17" s="135">
        <f t="shared" si="21"/>
        <v>5</v>
      </c>
      <c r="M17" s="133">
        <f t="shared" si="0"/>
        <v>37</v>
      </c>
      <c r="N17" s="136">
        <v>124</v>
      </c>
      <c r="O17" s="136">
        <v>100</v>
      </c>
      <c r="P17" s="136">
        <v>5</v>
      </c>
      <c r="Q17" s="136">
        <v>1</v>
      </c>
      <c r="R17" s="136">
        <v>0</v>
      </c>
      <c r="S17" s="136">
        <v>0</v>
      </c>
      <c r="T17" s="136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3"/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3">
        <f t="shared" si="4"/>
        <v>0</v>
      </c>
      <c r="AG17" s="149">
        <v>20001</v>
      </c>
    </row>
    <row r="18" spans="1:33">
      <c r="A18" s="135">
        <v>14</v>
      </c>
      <c r="B18" s="135">
        <v>14</v>
      </c>
      <c r="C18" s="135">
        <f t="shared" si="5"/>
        <v>1</v>
      </c>
      <c r="D18" s="135">
        <f t="shared" si="7"/>
        <v>1548</v>
      </c>
      <c r="E18" s="169">
        <v>1.28</v>
      </c>
      <c r="F18" s="135">
        <v>20</v>
      </c>
      <c r="G18" s="135">
        <v>600000</v>
      </c>
      <c r="H18" s="121">
        <f t="shared" si="1"/>
        <v>600</v>
      </c>
      <c r="I18" s="135">
        <f t="shared" si="6"/>
        <v>16</v>
      </c>
      <c r="J18" s="135">
        <f t="shared" ref="J18:L19" si="22">J17+0</f>
        <v>8</v>
      </c>
      <c r="K18" s="135">
        <f t="shared" si="22"/>
        <v>9</v>
      </c>
      <c r="L18" s="135">
        <f t="shared" si="22"/>
        <v>5</v>
      </c>
      <c r="M18" s="133">
        <f t="shared" si="0"/>
        <v>38</v>
      </c>
      <c r="N18" s="136">
        <v>126</v>
      </c>
      <c r="O18" s="136">
        <v>100</v>
      </c>
      <c r="P18" s="136">
        <v>5</v>
      </c>
      <c r="Q18" s="136">
        <v>1</v>
      </c>
      <c r="R18" s="136">
        <v>0</v>
      </c>
      <c r="S18" s="136">
        <v>0</v>
      </c>
      <c r="T18" s="136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3"/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3">
        <f t="shared" si="4"/>
        <v>0</v>
      </c>
      <c r="AG18" s="149">
        <v>20001</v>
      </c>
    </row>
    <row r="19" spans="1:33">
      <c r="A19" s="135">
        <v>15</v>
      </c>
      <c r="B19" s="135">
        <v>15</v>
      </c>
      <c r="C19" s="135">
        <f t="shared" si="5"/>
        <v>1</v>
      </c>
      <c r="D19" s="135">
        <f t="shared" si="7"/>
        <v>1703</v>
      </c>
      <c r="E19" s="169">
        <v>0.1</v>
      </c>
      <c r="F19" s="135">
        <v>20</v>
      </c>
      <c r="G19" s="135">
        <v>600000</v>
      </c>
      <c r="H19" s="121">
        <f t="shared" si="1"/>
        <v>600</v>
      </c>
      <c r="I19" s="135">
        <f t="shared" si="6"/>
        <v>17</v>
      </c>
      <c r="J19" s="135">
        <f t="shared" si="6"/>
        <v>9</v>
      </c>
      <c r="K19" s="135">
        <f t="shared" si="6"/>
        <v>10</v>
      </c>
      <c r="L19" s="135">
        <f t="shared" si="22"/>
        <v>5</v>
      </c>
      <c r="M19" s="133">
        <f t="shared" si="0"/>
        <v>41</v>
      </c>
      <c r="N19" s="136">
        <v>128</v>
      </c>
      <c r="O19" s="136">
        <v>100</v>
      </c>
      <c r="P19" s="136">
        <v>5</v>
      </c>
      <c r="Q19" s="136">
        <v>1</v>
      </c>
      <c r="R19" s="136">
        <v>1</v>
      </c>
      <c r="S19" s="136">
        <v>0</v>
      </c>
      <c r="T19" s="136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3"/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3">
        <f t="shared" si="4"/>
        <v>0</v>
      </c>
      <c r="AG19" s="149">
        <v>20001</v>
      </c>
    </row>
    <row r="20" spans="1:33">
      <c r="A20" s="135">
        <v>16</v>
      </c>
      <c r="B20" s="135">
        <v>16</v>
      </c>
      <c r="C20" s="135">
        <f t="shared" si="5"/>
        <v>1</v>
      </c>
      <c r="D20" s="135">
        <f t="shared" si="7"/>
        <v>1877</v>
      </c>
      <c r="E20" s="169">
        <f t="shared" si="9"/>
        <v>0.10200000000000001</v>
      </c>
      <c r="F20" s="135">
        <v>20</v>
      </c>
      <c r="G20" s="135">
        <v>600000</v>
      </c>
      <c r="H20" s="121">
        <f t="shared" si="1"/>
        <v>600</v>
      </c>
      <c r="I20" s="135">
        <f t="shared" si="6"/>
        <v>18</v>
      </c>
      <c r="J20" s="135">
        <f t="shared" ref="J20:K20" si="23">J19+0</f>
        <v>9</v>
      </c>
      <c r="K20" s="135">
        <f t="shared" si="23"/>
        <v>10</v>
      </c>
      <c r="L20" s="135">
        <f t="shared" ref="L20" si="24">L19+1</f>
        <v>6</v>
      </c>
      <c r="M20" s="133">
        <f t="shared" si="0"/>
        <v>43</v>
      </c>
      <c r="N20" s="136">
        <v>130</v>
      </c>
      <c r="O20" s="136">
        <v>100</v>
      </c>
      <c r="P20" s="136">
        <v>5</v>
      </c>
      <c r="Q20" s="136">
        <v>1</v>
      </c>
      <c r="R20" s="136">
        <v>0</v>
      </c>
      <c r="S20" s="136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3"/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3">
        <f t="shared" si="4"/>
        <v>0</v>
      </c>
      <c r="AG20" s="149">
        <v>20001</v>
      </c>
    </row>
    <row r="21" spans="1:33">
      <c r="A21" s="135">
        <v>17</v>
      </c>
      <c r="B21" s="135">
        <v>17</v>
      </c>
      <c r="C21" s="135">
        <f t="shared" si="5"/>
        <v>1</v>
      </c>
      <c r="D21" s="135">
        <f t="shared" si="7"/>
        <v>2072</v>
      </c>
      <c r="E21" s="169">
        <f t="shared" si="9"/>
        <v>0.10400000000000001</v>
      </c>
      <c r="F21" s="135">
        <v>20</v>
      </c>
      <c r="G21" s="135">
        <v>600000</v>
      </c>
      <c r="H21" s="121">
        <f t="shared" si="1"/>
        <v>600</v>
      </c>
      <c r="I21" s="135">
        <f t="shared" si="6"/>
        <v>19</v>
      </c>
      <c r="J21" s="135">
        <f t="shared" si="6"/>
        <v>10</v>
      </c>
      <c r="K21" s="135">
        <f t="shared" si="6"/>
        <v>11</v>
      </c>
      <c r="L21" s="135">
        <f t="shared" ref="L21:L22" si="25">L20+0</f>
        <v>6</v>
      </c>
      <c r="M21" s="133">
        <f t="shared" si="0"/>
        <v>46</v>
      </c>
      <c r="N21" s="136">
        <v>132</v>
      </c>
      <c r="O21" s="136">
        <v>100</v>
      </c>
      <c r="P21" s="136">
        <v>5</v>
      </c>
      <c r="Q21" s="136">
        <v>1</v>
      </c>
      <c r="R21" s="136">
        <v>0</v>
      </c>
      <c r="S21" s="136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3"/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3">
        <f t="shared" si="4"/>
        <v>0</v>
      </c>
      <c r="AG21" s="149">
        <v>20001</v>
      </c>
    </row>
    <row r="22" spans="1:33">
      <c r="A22" s="135">
        <v>18</v>
      </c>
      <c r="B22" s="135">
        <v>18</v>
      </c>
      <c r="C22" s="135">
        <f t="shared" si="5"/>
        <v>1</v>
      </c>
      <c r="D22" s="135">
        <f t="shared" si="7"/>
        <v>2292</v>
      </c>
      <c r="E22" s="169">
        <f t="shared" si="9"/>
        <v>0.10600000000000001</v>
      </c>
      <c r="F22" s="135">
        <v>20</v>
      </c>
      <c r="G22" s="135">
        <v>600000</v>
      </c>
      <c r="H22" s="121">
        <f t="shared" si="1"/>
        <v>600</v>
      </c>
      <c r="I22" s="135">
        <f t="shared" si="6"/>
        <v>20</v>
      </c>
      <c r="J22" s="135">
        <f t="shared" ref="J22:K22" si="26">J21+0</f>
        <v>10</v>
      </c>
      <c r="K22" s="135">
        <f t="shared" si="26"/>
        <v>11</v>
      </c>
      <c r="L22" s="135">
        <f t="shared" si="25"/>
        <v>6</v>
      </c>
      <c r="M22" s="133">
        <f t="shared" si="0"/>
        <v>47</v>
      </c>
      <c r="N22" s="136">
        <v>134</v>
      </c>
      <c r="O22" s="136">
        <v>100</v>
      </c>
      <c r="P22" s="136">
        <v>5</v>
      </c>
      <c r="Q22" s="136">
        <v>1</v>
      </c>
      <c r="R22" s="136">
        <v>1</v>
      </c>
      <c r="S22" s="136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3"/>
        <v>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3">
        <f t="shared" si="4"/>
        <v>0</v>
      </c>
      <c r="AG22" s="149">
        <v>20001</v>
      </c>
    </row>
    <row r="23" spans="1:33">
      <c r="A23" s="135">
        <v>19</v>
      </c>
      <c r="B23" s="135">
        <v>19</v>
      </c>
      <c r="C23" s="135">
        <f t="shared" si="5"/>
        <v>1</v>
      </c>
      <c r="D23" s="135">
        <f t="shared" si="7"/>
        <v>2540</v>
      </c>
      <c r="E23" s="169">
        <f t="shared" si="9"/>
        <v>0.10800000000000001</v>
      </c>
      <c r="F23" s="135">
        <v>20</v>
      </c>
      <c r="G23" s="135">
        <v>600000</v>
      </c>
      <c r="H23" s="121">
        <f t="shared" si="1"/>
        <v>600</v>
      </c>
      <c r="I23" s="135">
        <f t="shared" ref="I23:L38" si="27">I22+1</f>
        <v>21</v>
      </c>
      <c r="J23" s="135">
        <f t="shared" si="27"/>
        <v>11</v>
      </c>
      <c r="K23" s="135">
        <f t="shared" si="27"/>
        <v>12</v>
      </c>
      <c r="L23" s="135">
        <f t="shared" si="27"/>
        <v>7</v>
      </c>
      <c r="M23" s="133">
        <f t="shared" si="0"/>
        <v>51</v>
      </c>
      <c r="N23" s="136">
        <v>136</v>
      </c>
      <c r="O23" s="136">
        <v>100</v>
      </c>
      <c r="P23" s="136">
        <v>5</v>
      </c>
      <c r="Q23" s="136">
        <v>1</v>
      </c>
      <c r="R23" s="136">
        <v>0</v>
      </c>
      <c r="S23" s="136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3"/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3">
        <f t="shared" si="4"/>
        <v>0</v>
      </c>
      <c r="AG23" s="149">
        <v>20001</v>
      </c>
    </row>
    <row r="24" spans="1:33">
      <c r="A24" s="135">
        <v>20</v>
      </c>
      <c r="B24" s="135">
        <v>20</v>
      </c>
      <c r="C24" s="135">
        <f t="shared" si="5"/>
        <v>1</v>
      </c>
      <c r="D24" s="135">
        <f t="shared" si="7"/>
        <v>2819</v>
      </c>
      <c r="E24" s="169">
        <f t="shared" si="9"/>
        <v>0.11000000000000001</v>
      </c>
      <c r="F24" s="135">
        <v>20</v>
      </c>
      <c r="G24" s="135">
        <v>600000</v>
      </c>
      <c r="H24" s="121">
        <f t="shared" si="1"/>
        <v>600</v>
      </c>
      <c r="I24" s="135">
        <f t="shared" si="27"/>
        <v>22</v>
      </c>
      <c r="J24" s="135">
        <f t="shared" ref="J24:L25" si="28">J23+0</f>
        <v>11</v>
      </c>
      <c r="K24" s="135">
        <f t="shared" si="28"/>
        <v>12</v>
      </c>
      <c r="L24" s="135">
        <f t="shared" si="28"/>
        <v>7</v>
      </c>
      <c r="M24" s="133">
        <f t="shared" si="0"/>
        <v>52</v>
      </c>
      <c r="N24" s="136">
        <v>138</v>
      </c>
      <c r="O24" s="136">
        <v>100</v>
      </c>
      <c r="P24" s="136">
        <v>5</v>
      </c>
      <c r="Q24" s="136">
        <v>1</v>
      </c>
      <c r="R24" s="136">
        <v>0</v>
      </c>
      <c r="S24" s="136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3"/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3">
        <f t="shared" si="4"/>
        <v>0</v>
      </c>
      <c r="AG24" s="149">
        <v>20001</v>
      </c>
    </row>
    <row r="25" spans="1:33">
      <c r="A25" s="135">
        <v>21</v>
      </c>
      <c r="B25" s="135">
        <v>21</v>
      </c>
      <c r="C25" s="135">
        <f t="shared" si="5"/>
        <v>1</v>
      </c>
      <c r="D25" s="135">
        <f t="shared" si="7"/>
        <v>7245</v>
      </c>
      <c r="E25" s="169">
        <v>1.57</v>
      </c>
      <c r="F25" s="135">
        <v>20</v>
      </c>
      <c r="G25" s="135">
        <v>600000</v>
      </c>
      <c r="H25" s="121">
        <f t="shared" si="1"/>
        <v>600</v>
      </c>
      <c r="I25" s="135">
        <f t="shared" si="27"/>
        <v>23</v>
      </c>
      <c r="J25" s="135">
        <f t="shared" si="27"/>
        <v>12</v>
      </c>
      <c r="K25" s="135">
        <f t="shared" si="27"/>
        <v>13</v>
      </c>
      <c r="L25" s="135">
        <f t="shared" si="28"/>
        <v>7</v>
      </c>
      <c r="M25" s="133">
        <f t="shared" si="0"/>
        <v>55</v>
      </c>
      <c r="N25" s="136">
        <v>140</v>
      </c>
      <c r="O25" s="136">
        <v>100</v>
      </c>
      <c r="P25" s="136">
        <v>5</v>
      </c>
      <c r="Q25" s="136">
        <v>1</v>
      </c>
      <c r="R25" s="136">
        <v>1</v>
      </c>
      <c r="S25" s="136">
        <v>0</v>
      </c>
      <c r="T25" s="135">
        <v>0</v>
      </c>
      <c r="U25" s="135">
        <v>0</v>
      </c>
      <c r="V25" s="135">
        <v>0</v>
      </c>
      <c r="W25" s="135">
        <v>0</v>
      </c>
      <c r="X25" s="135">
        <v>0</v>
      </c>
      <c r="Y25" s="133">
        <f t="shared" si="3"/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3">
        <f t="shared" si="4"/>
        <v>0</v>
      </c>
      <c r="AG25" s="149">
        <v>20001</v>
      </c>
    </row>
    <row r="26" spans="1:33">
      <c r="A26" s="135">
        <v>22</v>
      </c>
      <c r="B26" s="135">
        <v>22</v>
      </c>
      <c r="C26" s="135">
        <f t="shared" si="5"/>
        <v>1</v>
      </c>
      <c r="D26" s="135">
        <f t="shared" si="7"/>
        <v>7970</v>
      </c>
      <c r="E26" s="169">
        <v>0.1</v>
      </c>
      <c r="F26" s="135">
        <v>20</v>
      </c>
      <c r="G26" s="135">
        <v>600000</v>
      </c>
      <c r="H26" s="121">
        <f t="shared" si="1"/>
        <v>600</v>
      </c>
      <c r="I26" s="135">
        <f t="shared" si="27"/>
        <v>24</v>
      </c>
      <c r="J26" s="135">
        <f t="shared" ref="J26:K26" si="29">J25+0</f>
        <v>12</v>
      </c>
      <c r="K26" s="135">
        <f t="shared" si="29"/>
        <v>13</v>
      </c>
      <c r="L26" s="135">
        <f t="shared" ref="L26" si="30">L25+1</f>
        <v>8</v>
      </c>
      <c r="M26" s="133">
        <f t="shared" si="0"/>
        <v>57</v>
      </c>
      <c r="N26" s="136">
        <v>142</v>
      </c>
      <c r="O26" s="136">
        <v>100</v>
      </c>
      <c r="P26" s="136">
        <v>5</v>
      </c>
      <c r="Q26" s="136">
        <v>1</v>
      </c>
      <c r="R26" s="136">
        <v>0</v>
      </c>
      <c r="S26" s="136">
        <v>0</v>
      </c>
      <c r="T26" s="135">
        <v>0</v>
      </c>
      <c r="U26" s="135">
        <v>0</v>
      </c>
      <c r="V26" s="135">
        <v>0</v>
      </c>
      <c r="W26" s="135">
        <v>0</v>
      </c>
      <c r="X26" s="135">
        <v>0</v>
      </c>
      <c r="Y26" s="133">
        <f t="shared" si="3"/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3">
        <f t="shared" si="4"/>
        <v>0</v>
      </c>
      <c r="AG26" s="149">
        <v>20001</v>
      </c>
    </row>
    <row r="27" spans="1:33">
      <c r="A27" s="135">
        <v>23</v>
      </c>
      <c r="B27" s="135">
        <v>23</v>
      </c>
      <c r="C27" s="135">
        <f t="shared" si="5"/>
        <v>1</v>
      </c>
      <c r="D27" s="135">
        <f t="shared" si="7"/>
        <v>8783</v>
      </c>
      <c r="E27" s="169">
        <f t="shared" si="9"/>
        <v>0.10200000000000001</v>
      </c>
      <c r="F27" s="135">
        <v>20</v>
      </c>
      <c r="G27" s="135">
        <v>600000</v>
      </c>
      <c r="H27" s="121">
        <f t="shared" si="1"/>
        <v>600</v>
      </c>
      <c r="I27" s="135">
        <f t="shared" si="27"/>
        <v>25</v>
      </c>
      <c r="J27" s="135">
        <f t="shared" si="27"/>
        <v>13</v>
      </c>
      <c r="K27" s="135">
        <f t="shared" si="27"/>
        <v>14</v>
      </c>
      <c r="L27" s="135">
        <f t="shared" ref="L27:L28" si="31">L26+0</f>
        <v>8</v>
      </c>
      <c r="M27" s="133">
        <f t="shared" si="0"/>
        <v>60</v>
      </c>
      <c r="N27" s="136">
        <v>144</v>
      </c>
      <c r="O27" s="136">
        <v>100</v>
      </c>
      <c r="P27" s="136">
        <v>5</v>
      </c>
      <c r="Q27" s="136">
        <v>1</v>
      </c>
      <c r="R27" s="136">
        <v>0</v>
      </c>
      <c r="S27" s="136">
        <v>0</v>
      </c>
      <c r="T27" s="135">
        <v>0</v>
      </c>
      <c r="U27" s="135">
        <v>0</v>
      </c>
      <c r="V27" s="135">
        <v>0</v>
      </c>
      <c r="W27" s="135">
        <v>0</v>
      </c>
      <c r="X27" s="135">
        <v>0</v>
      </c>
      <c r="Y27" s="133">
        <f t="shared" si="3"/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3">
        <f t="shared" si="4"/>
        <v>0</v>
      </c>
      <c r="AG27" s="149">
        <v>20001</v>
      </c>
    </row>
    <row r="28" spans="1:33">
      <c r="A28" s="135">
        <v>24</v>
      </c>
      <c r="B28" s="135">
        <v>24</v>
      </c>
      <c r="C28" s="135">
        <f t="shared" si="5"/>
        <v>1</v>
      </c>
      <c r="D28" s="135">
        <f t="shared" si="7"/>
        <v>9696</v>
      </c>
      <c r="E28" s="169">
        <f t="shared" si="9"/>
        <v>0.10400000000000001</v>
      </c>
      <c r="F28" s="135">
        <v>20</v>
      </c>
      <c r="G28" s="135">
        <v>600000</v>
      </c>
      <c r="H28" s="121">
        <f t="shared" si="1"/>
        <v>600</v>
      </c>
      <c r="I28" s="135">
        <f t="shared" si="27"/>
        <v>26</v>
      </c>
      <c r="J28" s="135">
        <f t="shared" ref="J28:K28" si="32">J27+0</f>
        <v>13</v>
      </c>
      <c r="K28" s="135">
        <f t="shared" si="32"/>
        <v>14</v>
      </c>
      <c r="L28" s="135">
        <f t="shared" si="31"/>
        <v>8</v>
      </c>
      <c r="M28" s="133">
        <f t="shared" si="0"/>
        <v>61</v>
      </c>
      <c r="N28" s="136">
        <v>146</v>
      </c>
      <c r="O28" s="136">
        <v>100</v>
      </c>
      <c r="P28" s="136">
        <v>5</v>
      </c>
      <c r="Q28" s="136">
        <v>1</v>
      </c>
      <c r="R28" s="136">
        <v>1</v>
      </c>
      <c r="S28" s="136">
        <v>0</v>
      </c>
      <c r="T28" s="135">
        <v>0</v>
      </c>
      <c r="U28" s="135">
        <v>0</v>
      </c>
      <c r="V28" s="135">
        <v>0</v>
      </c>
      <c r="W28" s="135">
        <v>0</v>
      </c>
      <c r="X28" s="135">
        <v>0</v>
      </c>
      <c r="Y28" s="133">
        <f t="shared" si="3"/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3">
        <f t="shared" si="4"/>
        <v>0</v>
      </c>
      <c r="AG28" s="149">
        <v>20001</v>
      </c>
    </row>
    <row r="29" spans="1:33">
      <c r="A29" s="135">
        <v>25</v>
      </c>
      <c r="B29" s="135">
        <v>25</v>
      </c>
      <c r="C29" s="135">
        <f t="shared" si="5"/>
        <v>1</v>
      </c>
      <c r="D29" s="135">
        <f t="shared" si="7"/>
        <v>10724</v>
      </c>
      <c r="E29" s="169">
        <f t="shared" si="9"/>
        <v>0.10600000000000001</v>
      </c>
      <c r="F29" s="135">
        <v>20</v>
      </c>
      <c r="G29" s="135">
        <v>600000</v>
      </c>
      <c r="H29" s="121">
        <f t="shared" si="1"/>
        <v>600</v>
      </c>
      <c r="I29" s="135">
        <f t="shared" si="27"/>
        <v>27</v>
      </c>
      <c r="J29" s="135">
        <f t="shared" si="27"/>
        <v>14</v>
      </c>
      <c r="K29" s="135">
        <f t="shared" si="27"/>
        <v>15</v>
      </c>
      <c r="L29" s="135">
        <f t="shared" si="27"/>
        <v>9</v>
      </c>
      <c r="M29" s="133">
        <f t="shared" si="0"/>
        <v>65</v>
      </c>
      <c r="N29" s="136">
        <v>148</v>
      </c>
      <c r="O29" s="136">
        <v>100</v>
      </c>
      <c r="P29" s="136">
        <v>5</v>
      </c>
      <c r="Q29" s="136">
        <v>1</v>
      </c>
      <c r="R29" s="136">
        <v>0</v>
      </c>
      <c r="S29" s="136">
        <v>0</v>
      </c>
      <c r="T29" s="135">
        <v>0</v>
      </c>
      <c r="U29" s="135">
        <v>0</v>
      </c>
      <c r="V29" s="135">
        <v>0</v>
      </c>
      <c r="W29" s="135">
        <v>0</v>
      </c>
      <c r="X29" s="135">
        <v>0</v>
      </c>
      <c r="Y29" s="133">
        <f t="shared" si="3"/>
        <v>0</v>
      </c>
      <c r="Z29" s="135">
        <v>0</v>
      </c>
      <c r="AA29" s="135">
        <v>0</v>
      </c>
      <c r="AB29" s="135">
        <v>0</v>
      </c>
      <c r="AC29" s="135">
        <v>0</v>
      </c>
      <c r="AD29" s="135">
        <v>0</v>
      </c>
      <c r="AE29" s="135">
        <v>0</v>
      </c>
      <c r="AF29" s="133">
        <f t="shared" si="4"/>
        <v>0</v>
      </c>
      <c r="AG29" s="149">
        <v>20001</v>
      </c>
    </row>
    <row r="30" spans="1:33">
      <c r="A30" s="135">
        <v>26</v>
      </c>
      <c r="B30" s="135">
        <v>26</v>
      </c>
      <c r="C30" s="135">
        <f t="shared" si="5"/>
        <v>1</v>
      </c>
      <c r="D30" s="135">
        <f t="shared" si="7"/>
        <v>11882</v>
      </c>
      <c r="E30" s="169">
        <f t="shared" si="9"/>
        <v>0.10800000000000001</v>
      </c>
      <c r="F30" s="135">
        <v>20</v>
      </c>
      <c r="G30" s="135">
        <v>600000</v>
      </c>
      <c r="H30" s="121">
        <f t="shared" si="1"/>
        <v>600</v>
      </c>
      <c r="I30" s="135">
        <f t="shared" si="27"/>
        <v>28</v>
      </c>
      <c r="J30" s="135">
        <f t="shared" ref="J30:L31" si="33">J29+0</f>
        <v>14</v>
      </c>
      <c r="K30" s="135">
        <f t="shared" si="33"/>
        <v>15</v>
      </c>
      <c r="L30" s="135">
        <f t="shared" si="33"/>
        <v>9</v>
      </c>
      <c r="M30" s="133">
        <f t="shared" si="0"/>
        <v>66</v>
      </c>
      <c r="N30" s="136">
        <v>150</v>
      </c>
      <c r="O30" s="136">
        <v>100</v>
      </c>
      <c r="P30" s="136">
        <v>5</v>
      </c>
      <c r="Q30" s="136">
        <v>1</v>
      </c>
      <c r="R30" s="136">
        <v>0</v>
      </c>
      <c r="S30" s="136">
        <v>0</v>
      </c>
      <c r="T30" s="135">
        <v>0</v>
      </c>
      <c r="U30" s="135">
        <v>0</v>
      </c>
      <c r="V30" s="135">
        <v>0</v>
      </c>
      <c r="W30" s="135">
        <v>0</v>
      </c>
      <c r="X30" s="135">
        <v>0</v>
      </c>
      <c r="Y30" s="133">
        <f t="shared" si="3"/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3">
        <f t="shared" si="4"/>
        <v>0</v>
      </c>
      <c r="AG30" s="149">
        <v>20001</v>
      </c>
    </row>
    <row r="31" spans="1:33">
      <c r="A31" s="135">
        <v>27</v>
      </c>
      <c r="B31" s="135">
        <v>27</v>
      </c>
      <c r="C31" s="135">
        <f t="shared" si="5"/>
        <v>1</v>
      </c>
      <c r="D31" s="135">
        <f t="shared" si="7"/>
        <v>13189</v>
      </c>
      <c r="E31" s="169">
        <f t="shared" si="9"/>
        <v>0.11000000000000001</v>
      </c>
      <c r="F31" s="135">
        <v>20</v>
      </c>
      <c r="G31" s="135">
        <v>600000</v>
      </c>
      <c r="H31" s="121">
        <f t="shared" si="1"/>
        <v>600</v>
      </c>
      <c r="I31" s="135">
        <f t="shared" si="27"/>
        <v>29</v>
      </c>
      <c r="J31" s="135">
        <f t="shared" si="27"/>
        <v>15</v>
      </c>
      <c r="K31" s="135">
        <f t="shared" si="27"/>
        <v>16</v>
      </c>
      <c r="L31" s="135">
        <f t="shared" si="33"/>
        <v>9</v>
      </c>
      <c r="M31" s="133">
        <f t="shared" si="0"/>
        <v>69</v>
      </c>
      <c r="N31" s="136">
        <v>152</v>
      </c>
      <c r="O31" s="136">
        <v>100</v>
      </c>
      <c r="P31" s="136">
        <v>5</v>
      </c>
      <c r="Q31" s="136">
        <v>1</v>
      </c>
      <c r="R31" s="136">
        <v>1</v>
      </c>
      <c r="S31" s="136">
        <v>0</v>
      </c>
      <c r="T31" s="135">
        <v>0</v>
      </c>
      <c r="U31" s="135">
        <v>0</v>
      </c>
      <c r="V31" s="135">
        <v>0</v>
      </c>
      <c r="W31" s="135">
        <v>0</v>
      </c>
      <c r="X31" s="135">
        <v>0</v>
      </c>
      <c r="Y31" s="133">
        <f t="shared" si="3"/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3">
        <f t="shared" si="4"/>
        <v>0</v>
      </c>
      <c r="AG31" s="149">
        <v>20001</v>
      </c>
    </row>
    <row r="32" spans="1:33">
      <c r="A32" s="135">
        <v>28</v>
      </c>
      <c r="B32" s="135">
        <v>28</v>
      </c>
      <c r="C32" s="135">
        <f t="shared" si="5"/>
        <v>1</v>
      </c>
      <c r="D32" s="135">
        <f t="shared" si="7"/>
        <v>30862</v>
      </c>
      <c r="E32" s="169">
        <v>1.34</v>
      </c>
      <c r="F32" s="135">
        <v>20</v>
      </c>
      <c r="G32" s="135">
        <v>600000</v>
      </c>
      <c r="H32" s="121">
        <f t="shared" si="1"/>
        <v>600</v>
      </c>
      <c r="I32" s="135">
        <f t="shared" si="27"/>
        <v>30</v>
      </c>
      <c r="J32" s="135">
        <f t="shared" ref="J32:K32" si="34">J31+0</f>
        <v>15</v>
      </c>
      <c r="K32" s="135">
        <f t="shared" si="34"/>
        <v>16</v>
      </c>
      <c r="L32" s="135">
        <f t="shared" ref="L32" si="35">L31+1</f>
        <v>10</v>
      </c>
      <c r="M32" s="133">
        <f t="shared" si="0"/>
        <v>71</v>
      </c>
      <c r="N32" s="136">
        <v>154</v>
      </c>
      <c r="O32" s="136">
        <v>100</v>
      </c>
      <c r="P32" s="136">
        <v>5</v>
      </c>
      <c r="Q32" s="136">
        <v>1</v>
      </c>
      <c r="R32" s="136">
        <v>0</v>
      </c>
      <c r="S32" s="136">
        <v>0</v>
      </c>
      <c r="T32" s="135">
        <v>0</v>
      </c>
      <c r="U32" s="135">
        <v>0</v>
      </c>
      <c r="V32" s="135">
        <v>0</v>
      </c>
      <c r="W32" s="135">
        <v>0</v>
      </c>
      <c r="X32" s="135">
        <v>0</v>
      </c>
      <c r="Y32" s="133">
        <f t="shared" si="3"/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3">
        <f t="shared" si="4"/>
        <v>0</v>
      </c>
      <c r="AG32" s="149">
        <v>20001</v>
      </c>
    </row>
    <row r="33" spans="1:33">
      <c r="A33" s="135">
        <v>29</v>
      </c>
      <c r="B33" s="135">
        <v>29</v>
      </c>
      <c r="C33" s="135">
        <f t="shared" si="5"/>
        <v>1</v>
      </c>
      <c r="D33" s="135">
        <f t="shared" si="7"/>
        <v>33948</v>
      </c>
      <c r="E33" s="169">
        <v>0.1</v>
      </c>
      <c r="F33" s="135">
        <v>20</v>
      </c>
      <c r="G33" s="135">
        <v>600000</v>
      </c>
      <c r="H33" s="121">
        <f t="shared" si="1"/>
        <v>600</v>
      </c>
      <c r="I33" s="135">
        <f t="shared" si="27"/>
        <v>31</v>
      </c>
      <c r="J33" s="135">
        <f t="shared" si="27"/>
        <v>16</v>
      </c>
      <c r="K33" s="135">
        <f t="shared" si="27"/>
        <v>17</v>
      </c>
      <c r="L33" s="135">
        <f t="shared" ref="L33:L34" si="36">L32+0</f>
        <v>10</v>
      </c>
      <c r="M33" s="133">
        <f t="shared" si="0"/>
        <v>74</v>
      </c>
      <c r="N33" s="136">
        <v>156</v>
      </c>
      <c r="O33" s="136">
        <v>100</v>
      </c>
      <c r="P33" s="136">
        <v>5</v>
      </c>
      <c r="Q33" s="136">
        <v>1</v>
      </c>
      <c r="R33" s="136">
        <v>0</v>
      </c>
      <c r="S33" s="136">
        <v>0</v>
      </c>
      <c r="T33" s="135">
        <v>0</v>
      </c>
      <c r="U33" s="135">
        <v>0</v>
      </c>
      <c r="V33" s="135">
        <v>0</v>
      </c>
      <c r="W33" s="135">
        <v>0</v>
      </c>
      <c r="X33" s="135">
        <v>0</v>
      </c>
      <c r="Y33" s="133">
        <f t="shared" si="3"/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3">
        <f t="shared" si="4"/>
        <v>0</v>
      </c>
      <c r="AG33" s="149">
        <v>20001</v>
      </c>
    </row>
    <row r="34" spans="1:33">
      <c r="A34" s="135">
        <v>30</v>
      </c>
      <c r="B34" s="135">
        <v>30</v>
      </c>
      <c r="C34" s="135">
        <f t="shared" si="5"/>
        <v>1</v>
      </c>
      <c r="D34" s="135">
        <f t="shared" si="7"/>
        <v>37411</v>
      </c>
      <c r="E34" s="169">
        <f t="shared" si="9"/>
        <v>0.10200000000000001</v>
      </c>
      <c r="F34" s="135">
        <v>20</v>
      </c>
      <c r="G34" s="135">
        <v>600000</v>
      </c>
      <c r="H34" s="121">
        <f t="shared" si="1"/>
        <v>600</v>
      </c>
      <c r="I34" s="135">
        <f t="shared" si="27"/>
        <v>32</v>
      </c>
      <c r="J34" s="135">
        <f t="shared" ref="J34:K34" si="37">J33+0</f>
        <v>16</v>
      </c>
      <c r="K34" s="135">
        <f t="shared" si="37"/>
        <v>17</v>
      </c>
      <c r="L34" s="135">
        <f t="shared" si="36"/>
        <v>10</v>
      </c>
      <c r="M34" s="133">
        <f t="shared" si="0"/>
        <v>75</v>
      </c>
      <c r="N34" s="136">
        <v>158</v>
      </c>
      <c r="O34" s="136">
        <v>100</v>
      </c>
      <c r="P34" s="136">
        <v>5</v>
      </c>
      <c r="Q34" s="136">
        <v>1</v>
      </c>
      <c r="R34" s="136">
        <v>1</v>
      </c>
      <c r="S34" s="136">
        <v>0</v>
      </c>
      <c r="T34" s="135">
        <v>0</v>
      </c>
      <c r="U34" s="135">
        <v>0</v>
      </c>
      <c r="V34" s="135">
        <v>0</v>
      </c>
      <c r="W34" s="135">
        <v>0</v>
      </c>
      <c r="X34" s="135">
        <v>0</v>
      </c>
      <c r="Y34" s="133">
        <f t="shared" si="3"/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3">
        <f t="shared" si="4"/>
        <v>0</v>
      </c>
      <c r="AG34" s="149">
        <v>20001</v>
      </c>
    </row>
    <row r="35" spans="1:33">
      <c r="A35" s="135">
        <v>31</v>
      </c>
      <c r="B35" s="135">
        <v>31</v>
      </c>
      <c r="C35" s="135">
        <f t="shared" si="5"/>
        <v>1</v>
      </c>
      <c r="D35" s="135">
        <f t="shared" si="7"/>
        <v>41302</v>
      </c>
      <c r="E35" s="169">
        <f t="shared" si="9"/>
        <v>0.10400000000000001</v>
      </c>
      <c r="F35" s="135">
        <v>20</v>
      </c>
      <c r="G35" s="135">
        <v>600000</v>
      </c>
      <c r="H35" s="121">
        <f t="shared" si="1"/>
        <v>600</v>
      </c>
      <c r="I35" s="135">
        <f t="shared" si="27"/>
        <v>33</v>
      </c>
      <c r="J35" s="135">
        <f t="shared" si="27"/>
        <v>17</v>
      </c>
      <c r="K35" s="135">
        <f t="shared" si="27"/>
        <v>18</v>
      </c>
      <c r="L35" s="135">
        <f t="shared" si="27"/>
        <v>11</v>
      </c>
      <c r="M35" s="133">
        <f t="shared" si="0"/>
        <v>79</v>
      </c>
      <c r="N35" s="136">
        <v>160</v>
      </c>
      <c r="O35" s="136">
        <v>100</v>
      </c>
      <c r="P35" s="136">
        <v>5</v>
      </c>
      <c r="Q35" s="136">
        <v>1</v>
      </c>
      <c r="R35" s="136">
        <v>0</v>
      </c>
      <c r="S35" s="136">
        <v>0</v>
      </c>
      <c r="T35" s="135">
        <v>0</v>
      </c>
      <c r="U35" s="135">
        <v>0</v>
      </c>
      <c r="V35" s="135">
        <v>0</v>
      </c>
      <c r="W35" s="135">
        <v>0</v>
      </c>
      <c r="X35" s="135">
        <v>0</v>
      </c>
      <c r="Y35" s="133">
        <f t="shared" si="3"/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3">
        <f t="shared" si="4"/>
        <v>0</v>
      </c>
      <c r="AG35" s="149">
        <v>20001</v>
      </c>
    </row>
    <row r="36" spans="1:33">
      <c r="A36" s="135">
        <v>32</v>
      </c>
      <c r="B36" s="135">
        <v>32</v>
      </c>
      <c r="C36" s="135">
        <f t="shared" si="5"/>
        <v>1</v>
      </c>
      <c r="D36" s="135">
        <f t="shared" si="7"/>
        <v>45680</v>
      </c>
      <c r="E36" s="169">
        <f t="shared" si="9"/>
        <v>0.10600000000000001</v>
      </c>
      <c r="F36" s="135">
        <v>20</v>
      </c>
      <c r="G36" s="135">
        <v>600000</v>
      </c>
      <c r="H36" s="121">
        <f t="shared" si="1"/>
        <v>600</v>
      </c>
      <c r="I36" s="135">
        <f t="shared" si="27"/>
        <v>34</v>
      </c>
      <c r="J36" s="135">
        <f t="shared" ref="J36:L37" si="38">J35+0</f>
        <v>17</v>
      </c>
      <c r="K36" s="135">
        <f t="shared" si="38"/>
        <v>18</v>
      </c>
      <c r="L36" s="135">
        <f t="shared" si="38"/>
        <v>11</v>
      </c>
      <c r="M36" s="133">
        <f t="shared" si="0"/>
        <v>80</v>
      </c>
      <c r="N36" s="136">
        <v>162</v>
      </c>
      <c r="O36" s="136">
        <v>100</v>
      </c>
      <c r="P36" s="136">
        <v>5</v>
      </c>
      <c r="Q36" s="136">
        <v>1</v>
      </c>
      <c r="R36" s="136">
        <v>0</v>
      </c>
      <c r="S36" s="136">
        <v>0</v>
      </c>
      <c r="T36" s="135">
        <v>0</v>
      </c>
      <c r="U36" s="135">
        <v>0</v>
      </c>
      <c r="V36" s="135">
        <v>0</v>
      </c>
      <c r="W36" s="135">
        <v>0</v>
      </c>
      <c r="X36" s="135">
        <v>0</v>
      </c>
      <c r="Y36" s="133">
        <f t="shared" si="3"/>
        <v>0</v>
      </c>
      <c r="Z36" s="135">
        <v>0</v>
      </c>
      <c r="AA36" s="135">
        <v>0</v>
      </c>
      <c r="AB36" s="135">
        <v>0</v>
      </c>
      <c r="AC36" s="135">
        <v>0</v>
      </c>
      <c r="AD36" s="135">
        <v>0</v>
      </c>
      <c r="AE36" s="135">
        <v>0</v>
      </c>
      <c r="AF36" s="133">
        <f t="shared" si="4"/>
        <v>0</v>
      </c>
      <c r="AG36" s="149">
        <v>20001</v>
      </c>
    </row>
    <row r="37" spans="1:33">
      <c r="A37" s="135">
        <v>33</v>
      </c>
      <c r="B37" s="135">
        <v>33</v>
      </c>
      <c r="C37" s="135">
        <f t="shared" si="5"/>
        <v>1</v>
      </c>
      <c r="D37" s="135">
        <f t="shared" si="7"/>
        <v>50613</v>
      </c>
      <c r="E37" s="169">
        <f t="shared" si="9"/>
        <v>0.10800000000000001</v>
      </c>
      <c r="F37" s="135">
        <v>20</v>
      </c>
      <c r="G37" s="135">
        <v>600000</v>
      </c>
      <c r="H37" s="121">
        <f t="shared" si="1"/>
        <v>600</v>
      </c>
      <c r="I37" s="135">
        <f t="shared" si="27"/>
        <v>35</v>
      </c>
      <c r="J37" s="135">
        <f t="shared" si="27"/>
        <v>18</v>
      </c>
      <c r="K37" s="135">
        <f t="shared" si="27"/>
        <v>19</v>
      </c>
      <c r="L37" s="135">
        <f t="shared" si="38"/>
        <v>11</v>
      </c>
      <c r="M37" s="133">
        <f t="shared" si="0"/>
        <v>83</v>
      </c>
      <c r="N37" s="136">
        <v>164</v>
      </c>
      <c r="O37" s="136">
        <v>100</v>
      </c>
      <c r="P37" s="136">
        <v>5</v>
      </c>
      <c r="Q37" s="136">
        <v>1</v>
      </c>
      <c r="R37" s="136">
        <v>1</v>
      </c>
      <c r="S37" s="136">
        <v>0</v>
      </c>
      <c r="T37" s="135">
        <v>0</v>
      </c>
      <c r="U37" s="135">
        <v>0</v>
      </c>
      <c r="V37" s="135">
        <v>0</v>
      </c>
      <c r="W37" s="135">
        <v>0</v>
      </c>
      <c r="X37" s="135">
        <v>0</v>
      </c>
      <c r="Y37" s="133">
        <f t="shared" si="3"/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3">
        <f t="shared" si="4"/>
        <v>0</v>
      </c>
      <c r="AG37" s="149">
        <v>20001</v>
      </c>
    </row>
    <row r="38" spans="1:33">
      <c r="A38" s="135">
        <v>34</v>
      </c>
      <c r="B38" s="135">
        <v>34</v>
      </c>
      <c r="C38" s="135">
        <f t="shared" si="5"/>
        <v>1</v>
      </c>
      <c r="D38" s="135">
        <f t="shared" si="7"/>
        <v>56180</v>
      </c>
      <c r="E38" s="169">
        <f t="shared" si="9"/>
        <v>0.11000000000000001</v>
      </c>
      <c r="F38" s="135">
        <v>20</v>
      </c>
      <c r="G38" s="135">
        <v>600000</v>
      </c>
      <c r="H38" s="121">
        <f t="shared" si="1"/>
        <v>600</v>
      </c>
      <c r="I38" s="135">
        <f t="shared" si="27"/>
        <v>36</v>
      </c>
      <c r="J38" s="135">
        <f t="shared" ref="J38:K38" si="39">J37+0</f>
        <v>18</v>
      </c>
      <c r="K38" s="135">
        <f t="shared" si="39"/>
        <v>19</v>
      </c>
      <c r="L38" s="135">
        <f t="shared" ref="L38" si="40">L37+1</f>
        <v>12</v>
      </c>
      <c r="M38" s="133">
        <f t="shared" si="0"/>
        <v>85</v>
      </c>
      <c r="N38" s="136">
        <v>166</v>
      </c>
      <c r="O38" s="136">
        <v>100</v>
      </c>
      <c r="P38" s="136">
        <v>5</v>
      </c>
      <c r="Q38" s="136">
        <v>1</v>
      </c>
      <c r="R38" s="136">
        <v>0</v>
      </c>
      <c r="S38" s="136">
        <v>0</v>
      </c>
      <c r="T38" s="135">
        <v>0</v>
      </c>
      <c r="U38" s="135">
        <v>0</v>
      </c>
      <c r="V38" s="135">
        <v>0</v>
      </c>
      <c r="W38" s="135">
        <v>0</v>
      </c>
      <c r="X38" s="135">
        <v>0</v>
      </c>
      <c r="Y38" s="133">
        <f t="shared" si="3"/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3">
        <f t="shared" si="4"/>
        <v>0</v>
      </c>
      <c r="AG38" s="149">
        <v>20001</v>
      </c>
    </row>
    <row r="39" spans="1:33">
      <c r="A39" s="135">
        <v>35</v>
      </c>
      <c r="B39" s="135">
        <v>35</v>
      </c>
      <c r="C39" s="135">
        <f t="shared" si="5"/>
        <v>1</v>
      </c>
      <c r="D39" s="135">
        <f t="shared" si="7"/>
        <v>156180</v>
      </c>
      <c r="E39" s="169">
        <v>1.78</v>
      </c>
      <c r="F39" s="135">
        <v>20</v>
      </c>
      <c r="G39" s="135">
        <v>600000</v>
      </c>
      <c r="H39" s="121">
        <f t="shared" si="1"/>
        <v>600</v>
      </c>
      <c r="I39" s="135">
        <f t="shared" ref="I39:L54" si="41">I38+1</f>
        <v>37</v>
      </c>
      <c r="J39" s="135">
        <f t="shared" si="41"/>
        <v>19</v>
      </c>
      <c r="K39" s="135">
        <f t="shared" si="41"/>
        <v>20</v>
      </c>
      <c r="L39" s="135">
        <f t="shared" ref="L39:L40" si="42">L38+0</f>
        <v>12</v>
      </c>
      <c r="M39" s="133">
        <f t="shared" si="0"/>
        <v>88</v>
      </c>
      <c r="N39" s="136">
        <v>168</v>
      </c>
      <c r="O39" s="136">
        <v>100</v>
      </c>
      <c r="P39" s="136">
        <v>5</v>
      </c>
      <c r="Q39" s="136">
        <v>1</v>
      </c>
      <c r="R39" s="136">
        <v>0</v>
      </c>
      <c r="S39" s="136">
        <v>0</v>
      </c>
      <c r="T39" s="135">
        <v>0</v>
      </c>
      <c r="U39" s="135">
        <v>0</v>
      </c>
      <c r="V39" s="135">
        <v>0</v>
      </c>
      <c r="W39" s="135">
        <v>0</v>
      </c>
      <c r="X39" s="135">
        <v>0</v>
      </c>
      <c r="Y39" s="133">
        <f t="shared" si="3"/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3">
        <f t="shared" si="4"/>
        <v>0</v>
      </c>
      <c r="AG39" s="149">
        <v>20001</v>
      </c>
    </row>
    <row r="40" spans="1:33">
      <c r="A40" s="135">
        <v>36</v>
      </c>
      <c r="B40" s="135">
        <v>36</v>
      </c>
      <c r="C40" s="135">
        <f t="shared" si="5"/>
        <v>1</v>
      </c>
      <c r="D40" s="135">
        <f t="shared" si="7"/>
        <v>171798</v>
      </c>
      <c r="E40" s="169">
        <v>0.1</v>
      </c>
      <c r="F40" s="135">
        <v>20</v>
      </c>
      <c r="G40" s="135">
        <v>600000</v>
      </c>
      <c r="H40" s="121">
        <f t="shared" si="1"/>
        <v>600</v>
      </c>
      <c r="I40" s="135">
        <f t="shared" si="41"/>
        <v>38</v>
      </c>
      <c r="J40" s="135">
        <f t="shared" ref="J40:K40" si="43">J39+0</f>
        <v>19</v>
      </c>
      <c r="K40" s="135">
        <f t="shared" si="43"/>
        <v>20</v>
      </c>
      <c r="L40" s="135">
        <f t="shared" si="42"/>
        <v>12</v>
      </c>
      <c r="M40" s="133">
        <f t="shared" si="0"/>
        <v>89</v>
      </c>
      <c r="N40" s="136">
        <v>170</v>
      </c>
      <c r="O40" s="136">
        <v>100</v>
      </c>
      <c r="P40" s="136">
        <v>5</v>
      </c>
      <c r="Q40" s="136">
        <v>1</v>
      </c>
      <c r="R40" s="136">
        <v>1</v>
      </c>
      <c r="S40" s="136">
        <v>0</v>
      </c>
      <c r="T40" s="135">
        <v>0</v>
      </c>
      <c r="U40" s="135">
        <v>0</v>
      </c>
      <c r="V40" s="135">
        <v>0</v>
      </c>
      <c r="W40" s="135">
        <v>0</v>
      </c>
      <c r="X40" s="135">
        <v>0</v>
      </c>
      <c r="Y40" s="133">
        <f t="shared" si="3"/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3">
        <f t="shared" si="4"/>
        <v>0</v>
      </c>
      <c r="AG40" s="149">
        <v>20001</v>
      </c>
    </row>
    <row r="41" spans="1:33">
      <c r="A41" s="135">
        <v>37</v>
      </c>
      <c r="B41" s="135">
        <v>37</v>
      </c>
      <c r="C41" s="135">
        <f t="shared" si="5"/>
        <v>1</v>
      </c>
      <c r="D41" s="135">
        <f t="shared" si="7"/>
        <v>189321</v>
      </c>
      <c r="E41" s="169">
        <f t="shared" si="9"/>
        <v>0.10200000000000001</v>
      </c>
      <c r="F41" s="135">
        <v>20</v>
      </c>
      <c r="G41" s="135">
        <v>600000</v>
      </c>
      <c r="H41" s="121">
        <f t="shared" si="1"/>
        <v>600</v>
      </c>
      <c r="I41" s="135">
        <f t="shared" si="41"/>
        <v>39</v>
      </c>
      <c r="J41" s="135">
        <f t="shared" si="41"/>
        <v>20</v>
      </c>
      <c r="K41" s="135">
        <f t="shared" si="41"/>
        <v>21</v>
      </c>
      <c r="L41" s="135">
        <f t="shared" si="41"/>
        <v>13</v>
      </c>
      <c r="M41" s="133">
        <f t="shared" si="0"/>
        <v>93</v>
      </c>
      <c r="N41" s="136">
        <v>172</v>
      </c>
      <c r="O41" s="136">
        <v>100</v>
      </c>
      <c r="P41" s="136">
        <v>5</v>
      </c>
      <c r="Q41" s="136">
        <v>1</v>
      </c>
      <c r="R41" s="136">
        <v>0</v>
      </c>
      <c r="S41" s="136">
        <v>0</v>
      </c>
      <c r="T41" s="135">
        <v>0</v>
      </c>
      <c r="U41" s="135">
        <v>0</v>
      </c>
      <c r="V41" s="135">
        <v>0</v>
      </c>
      <c r="W41" s="135">
        <v>0</v>
      </c>
      <c r="X41" s="135">
        <v>0</v>
      </c>
      <c r="Y41" s="133">
        <f t="shared" si="3"/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3">
        <f t="shared" si="4"/>
        <v>0</v>
      </c>
      <c r="AG41" s="149">
        <v>20001</v>
      </c>
    </row>
    <row r="42" spans="1:33">
      <c r="A42" s="135">
        <v>38</v>
      </c>
      <c r="B42" s="135">
        <v>38</v>
      </c>
      <c r="C42" s="135">
        <f t="shared" si="5"/>
        <v>1</v>
      </c>
      <c r="D42" s="135">
        <f t="shared" si="7"/>
        <v>209010</v>
      </c>
      <c r="E42" s="169">
        <f t="shared" si="9"/>
        <v>0.10400000000000001</v>
      </c>
      <c r="F42" s="135">
        <v>20</v>
      </c>
      <c r="G42" s="135">
        <v>600000</v>
      </c>
      <c r="H42" s="121">
        <f t="shared" si="1"/>
        <v>600</v>
      </c>
      <c r="I42" s="135">
        <f t="shared" si="41"/>
        <v>40</v>
      </c>
      <c r="J42" s="135">
        <f t="shared" ref="J42:L43" si="44">J41+0</f>
        <v>20</v>
      </c>
      <c r="K42" s="135">
        <f t="shared" si="44"/>
        <v>21</v>
      </c>
      <c r="L42" s="135">
        <f t="shared" si="44"/>
        <v>13</v>
      </c>
      <c r="M42" s="133">
        <f t="shared" si="0"/>
        <v>94</v>
      </c>
      <c r="N42" s="136">
        <v>174</v>
      </c>
      <c r="O42" s="136">
        <v>100</v>
      </c>
      <c r="P42" s="136">
        <v>5</v>
      </c>
      <c r="Q42" s="136">
        <v>1</v>
      </c>
      <c r="R42" s="136">
        <v>0</v>
      </c>
      <c r="S42" s="136">
        <v>0</v>
      </c>
      <c r="T42" s="135">
        <v>0</v>
      </c>
      <c r="U42" s="135">
        <v>0</v>
      </c>
      <c r="V42" s="135">
        <v>0</v>
      </c>
      <c r="W42" s="135">
        <v>0</v>
      </c>
      <c r="X42" s="135">
        <v>0</v>
      </c>
      <c r="Y42" s="133">
        <f t="shared" si="3"/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3">
        <f t="shared" si="4"/>
        <v>0</v>
      </c>
      <c r="AG42" s="149">
        <v>20001</v>
      </c>
    </row>
    <row r="43" spans="1:33">
      <c r="A43" s="135">
        <v>39</v>
      </c>
      <c r="B43" s="135">
        <v>39</v>
      </c>
      <c r="C43" s="135">
        <f t="shared" si="5"/>
        <v>1</v>
      </c>
      <c r="D43" s="135">
        <f t="shared" si="7"/>
        <v>231165</v>
      </c>
      <c r="E43" s="169">
        <f t="shared" si="9"/>
        <v>0.10600000000000001</v>
      </c>
      <c r="F43" s="135">
        <v>20</v>
      </c>
      <c r="G43" s="135">
        <v>600000</v>
      </c>
      <c r="H43" s="121">
        <f t="shared" si="1"/>
        <v>600</v>
      </c>
      <c r="I43" s="135">
        <f t="shared" si="41"/>
        <v>41</v>
      </c>
      <c r="J43" s="135">
        <f t="shared" si="41"/>
        <v>21</v>
      </c>
      <c r="K43" s="135">
        <f t="shared" si="41"/>
        <v>22</v>
      </c>
      <c r="L43" s="135">
        <f t="shared" si="44"/>
        <v>13</v>
      </c>
      <c r="M43" s="133">
        <f t="shared" si="0"/>
        <v>97</v>
      </c>
      <c r="N43" s="136">
        <v>176</v>
      </c>
      <c r="O43" s="136">
        <v>100</v>
      </c>
      <c r="P43" s="136">
        <v>5</v>
      </c>
      <c r="Q43" s="136">
        <v>1</v>
      </c>
      <c r="R43" s="136">
        <v>1</v>
      </c>
      <c r="S43" s="136">
        <v>0</v>
      </c>
      <c r="T43" s="135">
        <v>0</v>
      </c>
      <c r="U43" s="135">
        <v>0</v>
      </c>
      <c r="V43" s="135">
        <v>0</v>
      </c>
      <c r="W43" s="135">
        <v>0</v>
      </c>
      <c r="X43" s="135">
        <v>0</v>
      </c>
      <c r="Y43" s="133">
        <f t="shared" si="3"/>
        <v>0</v>
      </c>
      <c r="Z43" s="135">
        <v>0</v>
      </c>
      <c r="AA43" s="135">
        <v>0</v>
      </c>
      <c r="AB43" s="135">
        <v>0</v>
      </c>
      <c r="AC43" s="135">
        <v>0</v>
      </c>
      <c r="AD43" s="135">
        <v>0</v>
      </c>
      <c r="AE43" s="135">
        <v>0</v>
      </c>
      <c r="AF43" s="133">
        <f t="shared" si="4"/>
        <v>0</v>
      </c>
      <c r="AG43" s="149">
        <v>20001</v>
      </c>
    </row>
    <row r="44" spans="1:33">
      <c r="A44" s="135">
        <v>40</v>
      </c>
      <c r="B44" s="135">
        <v>40</v>
      </c>
      <c r="C44" s="135">
        <f t="shared" si="5"/>
        <v>1</v>
      </c>
      <c r="D44" s="135">
        <f t="shared" si="7"/>
        <v>256131</v>
      </c>
      <c r="E44" s="169">
        <f t="shared" si="9"/>
        <v>0.10800000000000001</v>
      </c>
      <c r="F44" s="135">
        <v>20</v>
      </c>
      <c r="G44" s="135">
        <v>600000</v>
      </c>
      <c r="H44" s="121">
        <f t="shared" si="1"/>
        <v>600</v>
      </c>
      <c r="I44" s="135">
        <f t="shared" si="41"/>
        <v>42</v>
      </c>
      <c r="J44" s="135">
        <f t="shared" ref="J44:K44" si="45">J43+0</f>
        <v>21</v>
      </c>
      <c r="K44" s="135">
        <f t="shared" si="45"/>
        <v>22</v>
      </c>
      <c r="L44" s="135">
        <f t="shared" ref="L44" si="46">L43+1</f>
        <v>14</v>
      </c>
      <c r="M44" s="133">
        <f t="shared" si="0"/>
        <v>99</v>
      </c>
      <c r="N44" s="136">
        <v>178</v>
      </c>
      <c r="O44" s="136">
        <v>100</v>
      </c>
      <c r="P44" s="136">
        <v>5</v>
      </c>
      <c r="Q44" s="136">
        <v>1</v>
      </c>
      <c r="R44" s="136">
        <v>0</v>
      </c>
      <c r="S44" s="136">
        <v>0</v>
      </c>
      <c r="T44" s="135">
        <v>0</v>
      </c>
      <c r="U44" s="135">
        <v>0</v>
      </c>
      <c r="V44" s="135">
        <v>0</v>
      </c>
      <c r="W44" s="135">
        <v>0</v>
      </c>
      <c r="X44" s="135">
        <v>0</v>
      </c>
      <c r="Y44" s="133">
        <f t="shared" si="3"/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3">
        <f t="shared" si="4"/>
        <v>0</v>
      </c>
      <c r="AG44" s="149">
        <v>20001</v>
      </c>
    </row>
    <row r="45" spans="1:33">
      <c r="A45" s="135">
        <v>41</v>
      </c>
      <c r="B45" s="135">
        <v>41</v>
      </c>
      <c r="C45" s="135">
        <f t="shared" si="5"/>
        <v>1</v>
      </c>
      <c r="D45" s="135">
        <f t="shared" si="7"/>
        <v>284305</v>
      </c>
      <c r="E45" s="169">
        <f t="shared" si="9"/>
        <v>0.11000000000000001</v>
      </c>
      <c r="F45" s="135">
        <v>20</v>
      </c>
      <c r="G45" s="135">
        <v>600000</v>
      </c>
      <c r="H45" s="121">
        <f t="shared" si="1"/>
        <v>600</v>
      </c>
      <c r="I45" s="135">
        <f t="shared" si="41"/>
        <v>43</v>
      </c>
      <c r="J45" s="135">
        <f t="shared" si="41"/>
        <v>22</v>
      </c>
      <c r="K45" s="135">
        <f t="shared" si="41"/>
        <v>23</v>
      </c>
      <c r="L45" s="135">
        <f t="shared" ref="L45:L46" si="47">L44+0</f>
        <v>14</v>
      </c>
      <c r="M45" s="133">
        <f t="shared" si="0"/>
        <v>102</v>
      </c>
      <c r="N45" s="136">
        <v>180</v>
      </c>
      <c r="O45" s="136">
        <v>100</v>
      </c>
      <c r="P45" s="136">
        <v>5</v>
      </c>
      <c r="Q45" s="136">
        <v>1</v>
      </c>
      <c r="R45" s="136">
        <v>0</v>
      </c>
      <c r="S45" s="136">
        <v>0</v>
      </c>
      <c r="T45" s="135">
        <v>0</v>
      </c>
      <c r="U45" s="135">
        <v>0</v>
      </c>
      <c r="V45" s="135">
        <v>0</v>
      </c>
      <c r="W45" s="135">
        <v>0</v>
      </c>
      <c r="X45" s="135">
        <v>0</v>
      </c>
      <c r="Y45" s="133">
        <f t="shared" si="3"/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3">
        <f t="shared" si="4"/>
        <v>0</v>
      </c>
      <c r="AG45" s="149">
        <v>20001</v>
      </c>
    </row>
    <row r="46" spans="1:33">
      <c r="A46" s="135">
        <v>42</v>
      </c>
      <c r="B46" s="135">
        <v>42</v>
      </c>
      <c r="C46" s="135">
        <f t="shared" si="5"/>
        <v>1</v>
      </c>
      <c r="D46" s="135">
        <f t="shared" si="7"/>
        <v>912619</v>
      </c>
      <c r="E46" s="169">
        <v>2.21</v>
      </c>
      <c r="F46" s="135">
        <v>20</v>
      </c>
      <c r="G46" s="135">
        <v>600000</v>
      </c>
      <c r="H46" s="121">
        <f t="shared" si="1"/>
        <v>600</v>
      </c>
      <c r="I46" s="135">
        <f t="shared" si="41"/>
        <v>44</v>
      </c>
      <c r="J46" s="135">
        <f t="shared" ref="J46:K46" si="48">J45+0</f>
        <v>22</v>
      </c>
      <c r="K46" s="135">
        <f t="shared" si="48"/>
        <v>23</v>
      </c>
      <c r="L46" s="135">
        <f t="shared" si="47"/>
        <v>14</v>
      </c>
      <c r="M46" s="133">
        <f t="shared" si="0"/>
        <v>103</v>
      </c>
      <c r="N46" s="136">
        <v>182</v>
      </c>
      <c r="O46" s="136">
        <v>100</v>
      </c>
      <c r="P46" s="136">
        <v>5</v>
      </c>
      <c r="Q46" s="136">
        <v>1</v>
      </c>
      <c r="R46" s="136">
        <v>1</v>
      </c>
      <c r="S46" s="136">
        <v>0</v>
      </c>
      <c r="T46" s="135">
        <v>0</v>
      </c>
      <c r="U46" s="135">
        <v>0</v>
      </c>
      <c r="V46" s="135">
        <v>0</v>
      </c>
      <c r="W46" s="135">
        <v>0</v>
      </c>
      <c r="X46" s="135">
        <v>0</v>
      </c>
      <c r="Y46" s="133">
        <f t="shared" si="3"/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3">
        <f t="shared" si="4"/>
        <v>0</v>
      </c>
      <c r="AG46" s="149">
        <v>20001</v>
      </c>
    </row>
    <row r="47" spans="1:33">
      <c r="A47" s="135">
        <v>43</v>
      </c>
      <c r="B47" s="135">
        <v>43</v>
      </c>
      <c r="C47" s="135">
        <f t="shared" si="5"/>
        <v>1</v>
      </c>
      <c r="D47" s="135">
        <f t="shared" si="7"/>
        <v>1013007</v>
      </c>
      <c r="E47" s="169">
        <v>0.11</v>
      </c>
      <c r="F47" s="135">
        <v>20</v>
      </c>
      <c r="G47" s="135">
        <v>600000</v>
      </c>
      <c r="H47" s="121">
        <f t="shared" si="1"/>
        <v>600</v>
      </c>
      <c r="I47" s="135">
        <f t="shared" si="41"/>
        <v>45</v>
      </c>
      <c r="J47" s="135">
        <f t="shared" si="41"/>
        <v>23</v>
      </c>
      <c r="K47" s="135">
        <f t="shared" si="41"/>
        <v>24</v>
      </c>
      <c r="L47" s="135">
        <f t="shared" si="41"/>
        <v>15</v>
      </c>
      <c r="M47" s="133">
        <f t="shared" si="0"/>
        <v>107</v>
      </c>
      <c r="N47" s="136">
        <v>184</v>
      </c>
      <c r="O47" s="136">
        <v>100</v>
      </c>
      <c r="P47" s="136">
        <v>5</v>
      </c>
      <c r="Q47" s="136">
        <v>1</v>
      </c>
      <c r="R47" s="136">
        <v>0</v>
      </c>
      <c r="S47" s="136">
        <v>0</v>
      </c>
      <c r="T47" s="135">
        <v>0</v>
      </c>
      <c r="U47" s="135">
        <v>0</v>
      </c>
      <c r="V47" s="135">
        <v>0</v>
      </c>
      <c r="W47" s="135">
        <v>0</v>
      </c>
      <c r="X47" s="135">
        <v>0</v>
      </c>
      <c r="Y47" s="133">
        <f t="shared" si="3"/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3">
        <f t="shared" si="4"/>
        <v>0</v>
      </c>
      <c r="AG47" s="149">
        <v>20001</v>
      </c>
    </row>
    <row r="48" spans="1:33">
      <c r="A48" s="135">
        <v>44</v>
      </c>
      <c r="B48" s="135">
        <v>44</v>
      </c>
      <c r="C48" s="135">
        <f t="shared" si="5"/>
        <v>1</v>
      </c>
      <c r="D48" s="135">
        <f t="shared" si="7"/>
        <v>1126464</v>
      </c>
      <c r="E48" s="169">
        <f t="shared" si="9"/>
        <v>0.112</v>
      </c>
      <c r="F48" s="135">
        <v>20</v>
      </c>
      <c r="G48" s="135">
        <v>600000</v>
      </c>
      <c r="H48" s="121">
        <f t="shared" si="1"/>
        <v>600</v>
      </c>
      <c r="I48" s="135">
        <f t="shared" si="41"/>
        <v>46</v>
      </c>
      <c r="J48" s="135">
        <f t="shared" ref="J48:L49" si="49">J47+0</f>
        <v>23</v>
      </c>
      <c r="K48" s="135">
        <f t="shared" si="49"/>
        <v>24</v>
      </c>
      <c r="L48" s="135">
        <f t="shared" si="49"/>
        <v>15</v>
      </c>
      <c r="M48" s="133">
        <f t="shared" si="0"/>
        <v>108</v>
      </c>
      <c r="N48" s="136">
        <v>186</v>
      </c>
      <c r="O48" s="136">
        <v>100</v>
      </c>
      <c r="P48" s="136">
        <v>5</v>
      </c>
      <c r="Q48" s="136">
        <v>1</v>
      </c>
      <c r="R48" s="136">
        <v>0</v>
      </c>
      <c r="S48" s="136">
        <v>0</v>
      </c>
      <c r="T48" s="135">
        <v>0</v>
      </c>
      <c r="U48" s="135">
        <v>0</v>
      </c>
      <c r="V48" s="135">
        <v>0</v>
      </c>
      <c r="W48" s="135">
        <v>0</v>
      </c>
      <c r="X48" s="135">
        <v>0</v>
      </c>
      <c r="Y48" s="133">
        <f t="shared" si="3"/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3">
        <f t="shared" si="4"/>
        <v>0</v>
      </c>
      <c r="AG48" s="149">
        <v>20001</v>
      </c>
    </row>
    <row r="49" spans="1:33">
      <c r="A49" s="135">
        <v>45</v>
      </c>
      <c r="B49" s="135">
        <v>45</v>
      </c>
      <c r="C49" s="135">
        <f t="shared" si="5"/>
        <v>1</v>
      </c>
      <c r="D49" s="135">
        <f t="shared" si="7"/>
        <v>1254881</v>
      </c>
      <c r="E49" s="169">
        <f t="shared" si="9"/>
        <v>0.114</v>
      </c>
      <c r="F49" s="135">
        <v>20</v>
      </c>
      <c r="G49" s="135">
        <v>600000</v>
      </c>
      <c r="H49" s="121">
        <f t="shared" si="1"/>
        <v>600</v>
      </c>
      <c r="I49" s="135">
        <f t="shared" si="41"/>
        <v>47</v>
      </c>
      <c r="J49" s="135">
        <f t="shared" si="41"/>
        <v>24</v>
      </c>
      <c r="K49" s="135">
        <f t="shared" si="41"/>
        <v>25</v>
      </c>
      <c r="L49" s="135">
        <f t="shared" si="49"/>
        <v>15</v>
      </c>
      <c r="M49" s="133">
        <f t="shared" si="0"/>
        <v>111</v>
      </c>
      <c r="N49" s="136">
        <v>188</v>
      </c>
      <c r="O49" s="136">
        <v>100</v>
      </c>
      <c r="P49" s="136">
        <v>5</v>
      </c>
      <c r="Q49" s="136">
        <v>1</v>
      </c>
      <c r="R49" s="136">
        <v>1</v>
      </c>
      <c r="S49" s="136">
        <v>0</v>
      </c>
      <c r="T49" s="135">
        <v>0</v>
      </c>
      <c r="U49" s="135">
        <v>0</v>
      </c>
      <c r="V49" s="135">
        <v>0</v>
      </c>
      <c r="W49" s="135">
        <v>0</v>
      </c>
      <c r="X49" s="135">
        <v>0</v>
      </c>
      <c r="Y49" s="133">
        <f t="shared" si="3"/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3">
        <f t="shared" si="4"/>
        <v>0</v>
      </c>
      <c r="AG49" s="149">
        <v>20001</v>
      </c>
    </row>
    <row r="50" spans="1:33">
      <c r="A50" s="135">
        <v>46</v>
      </c>
      <c r="B50" s="135">
        <v>46</v>
      </c>
      <c r="C50" s="135">
        <f t="shared" si="5"/>
        <v>1</v>
      </c>
      <c r="D50" s="135">
        <f t="shared" si="7"/>
        <v>1400447</v>
      </c>
      <c r="E50" s="169">
        <f t="shared" si="9"/>
        <v>0.11600000000000001</v>
      </c>
      <c r="F50" s="135">
        <v>20</v>
      </c>
      <c r="G50" s="135">
        <v>600000</v>
      </c>
      <c r="H50" s="121">
        <f t="shared" si="1"/>
        <v>600</v>
      </c>
      <c r="I50" s="135">
        <f t="shared" si="41"/>
        <v>48</v>
      </c>
      <c r="J50" s="135">
        <f t="shared" ref="J50:K50" si="50">J49+0</f>
        <v>24</v>
      </c>
      <c r="K50" s="135">
        <f t="shared" si="50"/>
        <v>25</v>
      </c>
      <c r="L50" s="135">
        <f t="shared" ref="L50" si="51">L49+1</f>
        <v>16</v>
      </c>
      <c r="M50" s="133">
        <f t="shared" si="0"/>
        <v>113</v>
      </c>
      <c r="N50" s="136">
        <v>190</v>
      </c>
      <c r="O50" s="136">
        <v>100</v>
      </c>
      <c r="P50" s="136">
        <v>5</v>
      </c>
      <c r="Q50" s="136">
        <v>1</v>
      </c>
      <c r="R50" s="136">
        <v>0</v>
      </c>
      <c r="S50" s="136">
        <v>0</v>
      </c>
      <c r="T50" s="135">
        <v>0</v>
      </c>
      <c r="U50" s="135">
        <v>0</v>
      </c>
      <c r="V50" s="135">
        <v>0</v>
      </c>
      <c r="W50" s="135">
        <v>0</v>
      </c>
      <c r="X50" s="135">
        <v>0</v>
      </c>
      <c r="Y50" s="133">
        <f t="shared" si="3"/>
        <v>0</v>
      </c>
      <c r="Z50" s="135">
        <v>0</v>
      </c>
      <c r="AA50" s="135">
        <v>0</v>
      </c>
      <c r="AB50" s="135">
        <v>0</v>
      </c>
      <c r="AC50" s="135">
        <v>0</v>
      </c>
      <c r="AD50" s="135">
        <v>0</v>
      </c>
      <c r="AE50" s="135">
        <v>0</v>
      </c>
      <c r="AF50" s="133">
        <f t="shared" si="4"/>
        <v>0</v>
      </c>
      <c r="AG50" s="149">
        <v>20001</v>
      </c>
    </row>
    <row r="51" spans="1:33">
      <c r="A51" s="135">
        <v>47</v>
      </c>
      <c r="B51" s="135">
        <v>47</v>
      </c>
      <c r="C51" s="135">
        <f t="shared" si="5"/>
        <v>1</v>
      </c>
      <c r="D51" s="135">
        <f t="shared" si="7"/>
        <v>1565700</v>
      </c>
      <c r="E51" s="169">
        <f t="shared" si="9"/>
        <v>0.11800000000000001</v>
      </c>
      <c r="F51" s="135">
        <v>20</v>
      </c>
      <c r="G51" s="135">
        <v>600000</v>
      </c>
      <c r="H51" s="121">
        <f t="shared" si="1"/>
        <v>600</v>
      </c>
      <c r="I51" s="135">
        <f t="shared" si="41"/>
        <v>49</v>
      </c>
      <c r="J51" s="135">
        <f t="shared" si="41"/>
        <v>25</v>
      </c>
      <c r="K51" s="135">
        <f t="shared" si="41"/>
        <v>26</v>
      </c>
      <c r="L51" s="135">
        <f t="shared" ref="L51:L54" si="52">L50+0</f>
        <v>16</v>
      </c>
      <c r="M51" s="133">
        <f t="shared" si="0"/>
        <v>116</v>
      </c>
      <c r="N51" s="136">
        <v>192</v>
      </c>
      <c r="O51" s="136">
        <v>100</v>
      </c>
      <c r="P51" s="136">
        <v>5</v>
      </c>
      <c r="Q51" s="136">
        <v>1</v>
      </c>
      <c r="R51" s="136">
        <v>0</v>
      </c>
      <c r="S51" s="136">
        <v>0</v>
      </c>
      <c r="T51" s="135">
        <v>0</v>
      </c>
      <c r="U51" s="135">
        <v>0</v>
      </c>
      <c r="V51" s="135">
        <v>0</v>
      </c>
      <c r="W51" s="135">
        <v>0</v>
      </c>
      <c r="X51" s="135">
        <v>0</v>
      </c>
      <c r="Y51" s="133">
        <f t="shared" si="3"/>
        <v>0</v>
      </c>
      <c r="Z51" s="135">
        <v>0</v>
      </c>
      <c r="AA51" s="135">
        <v>0</v>
      </c>
      <c r="AB51" s="135">
        <v>0</v>
      </c>
      <c r="AC51" s="135">
        <v>0</v>
      </c>
      <c r="AD51" s="135">
        <v>0</v>
      </c>
      <c r="AE51" s="135">
        <v>0</v>
      </c>
      <c r="AF51" s="133">
        <f t="shared" si="4"/>
        <v>0</v>
      </c>
      <c r="AG51" s="149">
        <v>20001</v>
      </c>
    </row>
    <row r="52" spans="1:33">
      <c r="A52" s="135">
        <v>48</v>
      </c>
      <c r="B52" s="135">
        <v>48</v>
      </c>
      <c r="C52" s="135">
        <f t="shared" si="5"/>
        <v>1</v>
      </c>
      <c r="D52" s="135">
        <f t="shared" si="7"/>
        <v>1753584</v>
      </c>
      <c r="E52" s="169">
        <f t="shared" si="9"/>
        <v>0.12000000000000001</v>
      </c>
      <c r="F52" s="135">
        <v>20</v>
      </c>
      <c r="G52" s="135">
        <v>600000</v>
      </c>
      <c r="H52" s="121">
        <f t="shared" si="1"/>
        <v>600</v>
      </c>
      <c r="I52" s="135">
        <f t="shared" si="41"/>
        <v>50</v>
      </c>
      <c r="J52" s="135">
        <f t="shared" ref="J52:K54" si="53">J51+0</f>
        <v>25</v>
      </c>
      <c r="K52" s="135">
        <f t="shared" si="53"/>
        <v>26</v>
      </c>
      <c r="L52" s="135">
        <f t="shared" si="52"/>
        <v>16</v>
      </c>
      <c r="M52" s="133">
        <f t="shared" si="0"/>
        <v>117</v>
      </c>
      <c r="N52" s="136">
        <v>194</v>
      </c>
      <c r="O52" s="136">
        <v>100</v>
      </c>
      <c r="P52" s="136">
        <v>5</v>
      </c>
      <c r="Q52" s="136">
        <v>1</v>
      </c>
      <c r="R52" s="136">
        <v>1</v>
      </c>
      <c r="S52" s="136">
        <v>0</v>
      </c>
      <c r="T52" s="135">
        <v>0</v>
      </c>
      <c r="U52" s="135">
        <v>0</v>
      </c>
      <c r="V52" s="135">
        <v>0</v>
      </c>
      <c r="W52" s="135">
        <v>0</v>
      </c>
      <c r="X52" s="135">
        <v>0</v>
      </c>
      <c r="Y52" s="133">
        <f t="shared" si="3"/>
        <v>0</v>
      </c>
      <c r="Z52" s="135">
        <v>0</v>
      </c>
      <c r="AA52" s="135">
        <v>0</v>
      </c>
      <c r="AB52" s="135">
        <v>0</v>
      </c>
      <c r="AC52" s="135">
        <v>0</v>
      </c>
      <c r="AD52" s="135">
        <v>0</v>
      </c>
      <c r="AE52" s="135">
        <v>0</v>
      </c>
      <c r="AF52" s="133">
        <f t="shared" si="4"/>
        <v>0</v>
      </c>
      <c r="AG52" s="149">
        <v>20001</v>
      </c>
    </row>
    <row r="53" spans="1:33">
      <c r="A53" s="135">
        <v>49</v>
      </c>
      <c r="B53" s="135">
        <v>49</v>
      </c>
      <c r="C53" s="135">
        <f t="shared" si="5"/>
        <v>1</v>
      </c>
      <c r="D53" s="135">
        <f t="shared" si="7"/>
        <v>1967521</v>
      </c>
      <c r="E53" s="169">
        <f t="shared" si="9"/>
        <v>0.12200000000000001</v>
      </c>
      <c r="F53" s="135">
        <v>20</v>
      </c>
      <c r="G53" s="135">
        <v>600000</v>
      </c>
      <c r="H53" s="121">
        <f t="shared" si="1"/>
        <v>600</v>
      </c>
      <c r="I53" s="136">
        <f t="shared" si="41"/>
        <v>51</v>
      </c>
      <c r="J53" s="136">
        <f t="shared" si="41"/>
        <v>26</v>
      </c>
      <c r="K53" s="136">
        <f t="shared" si="41"/>
        <v>27</v>
      </c>
      <c r="L53" s="136">
        <f t="shared" si="41"/>
        <v>17</v>
      </c>
      <c r="M53" s="133">
        <f t="shared" si="0"/>
        <v>121</v>
      </c>
      <c r="N53" s="136">
        <v>196</v>
      </c>
      <c r="O53" s="136">
        <v>100</v>
      </c>
      <c r="P53" s="136">
        <v>5</v>
      </c>
      <c r="Q53" s="136">
        <v>1</v>
      </c>
      <c r="R53" s="136">
        <v>0</v>
      </c>
      <c r="S53" s="136">
        <v>0</v>
      </c>
      <c r="T53" s="135">
        <v>0</v>
      </c>
      <c r="U53" s="135">
        <v>0</v>
      </c>
      <c r="V53" s="135">
        <v>0</v>
      </c>
      <c r="W53" s="135">
        <v>0</v>
      </c>
      <c r="X53" s="135">
        <v>0</v>
      </c>
      <c r="Y53" s="133">
        <f t="shared" si="3"/>
        <v>0</v>
      </c>
      <c r="Z53" s="135">
        <v>0</v>
      </c>
      <c r="AA53" s="135">
        <v>0</v>
      </c>
      <c r="AB53" s="135">
        <v>0</v>
      </c>
      <c r="AC53" s="135">
        <v>0</v>
      </c>
      <c r="AD53" s="135">
        <v>0</v>
      </c>
      <c r="AE53" s="135">
        <v>0</v>
      </c>
      <c r="AF53" s="133">
        <f t="shared" si="4"/>
        <v>0</v>
      </c>
      <c r="AG53" s="149">
        <v>20001</v>
      </c>
    </row>
    <row r="54" spans="1:33">
      <c r="A54" s="135">
        <v>50</v>
      </c>
      <c r="B54" s="135">
        <v>50</v>
      </c>
      <c r="C54" s="135">
        <f t="shared" si="5"/>
        <v>1</v>
      </c>
      <c r="D54" s="135">
        <f t="shared" si="7"/>
        <v>5056529</v>
      </c>
      <c r="E54" s="169">
        <v>1.57</v>
      </c>
      <c r="F54" s="135">
        <v>20</v>
      </c>
      <c r="G54" s="135">
        <v>600000</v>
      </c>
      <c r="H54" s="121">
        <f t="shared" si="1"/>
        <v>600</v>
      </c>
      <c r="I54" s="136">
        <f t="shared" si="41"/>
        <v>52</v>
      </c>
      <c r="J54" s="136">
        <f t="shared" si="53"/>
        <v>26</v>
      </c>
      <c r="K54" s="136">
        <f t="shared" si="53"/>
        <v>27</v>
      </c>
      <c r="L54" s="136">
        <f t="shared" si="52"/>
        <v>17</v>
      </c>
      <c r="M54" s="133">
        <f t="shared" si="0"/>
        <v>122</v>
      </c>
      <c r="N54" s="136">
        <v>198</v>
      </c>
      <c r="O54" s="136">
        <v>100</v>
      </c>
      <c r="P54" s="136">
        <v>5</v>
      </c>
      <c r="Q54" s="136">
        <v>1</v>
      </c>
      <c r="R54" s="136">
        <v>0</v>
      </c>
      <c r="S54" s="136">
        <v>0</v>
      </c>
      <c r="T54" s="135">
        <v>0</v>
      </c>
      <c r="U54" s="135">
        <v>0</v>
      </c>
      <c r="V54" s="135">
        <v>0</v>
      </c>
      <c r="W54" s="135">
        <v>0</v>
      </c>
      <c r="X54" s="135">
        <v>0</v>
      </c>
      <c r="Y54" s="133">
        <f t="shared" si="3"/>
        <v>0</v>
      </c>
      <c r="Z54" s="135">
        <v>0</v>
      </c>
      <c r="AA54" s="135">
        <v>0</v>
      </c>
      <c r="AB54" s="135">
        <v>0</v>
      </c>
      <c r="AC54" s="135">
        <v>0</v>
      </c>
      <c r="AD54" s="135">
        <v>0</v>
      </c>
      <c r="AE54" s="135">
        <v>0</v>
      </c>
      <c r="AF54" s="133">
        <f t="shared" si="4"/>
        <v>0</v>
      </c>
      <c r="AG54" s="149">
        <v>20001</v>
      </c>
    </row>
    <row r="55" spans="1:33">
      <c r="N55" s="136"/>
      <c r="O55" s="136"/>
      <c r="P55" s="136"/>
      <c r="Q55" s="136"/>
      <c r="R55" s="136"/>
      <c r="S55" s="136"/>
    </row>
    <row r="56" spans="1:33">
      <c r="N56" s="136"/>
      <c r="O56" s="136"/>
      <c r="P56" s="136"/>
      <c r="Q56" s="136"/>
      <c r="R56" s="136"/>
      <c r="S56" s="136"/>
    </row>
    <row r="57" spans="1:33">
      <c r="N57" s="136"/>
      <c r="O57" s="136"/>
      <c r="P57" s="136"/>
      <c r="Q57" s="136"/>
      <c r="R57" s="136"/>
      <c r="S57" s="136"/>
    </row>
    <row r="58" spans="1:33">
      <c r="N58" s="136"/>
      <c r="O58" s="136"/>
      <c r="P58" s="136"/>
      <c r="Q58" s="136"/>
      <c r="R58" s="136"/>
      <c r="S58" s="136"/>
    </row>
    <row r="59" spans="1:33">
      <c r="N59" s="136"/>
      <c r="O59" s="136"/>
      <c r="P59" s="136"/>
      <c r="Q59" s="136"/>
      <c r="R59" s="136"/>
      <c r="S59" s="136"/>
    </row>
    <row r="60" spans="1:33">
      <c r="N60" s="136"/>
      <c r="O60" s="136"/>
      <c r="P60" s="136"/>
      <c r="Q60" s="136"/>
      <c r="R60" s="136"/>
      <c r="S60" s="136"/>
    </row>
    <row r="61" spans="1:33">
      <c r="N61" s="136"/>
      <c r="O61" s="136"/>
      <c r="P61" s="136"/>
      <c r="Q61" s="136"/>
      <c r="R61" s="136"/>
      <c r="S61" s="136"/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L45"/>
  <sheetViews>
    <sheetView zoomScale="85" zoomScaleNormal="85" workbookViewId="0">
      <pane ySplit="3" topLeftCell="A4" activePane="bottomLeft" state="frozen"/>
      <selection activeCell="AC80" sqref="AC79:AC80"/>
      <selection pane="bottomLeft" activeCell="K47" sqref="K47"/>
    </sheetView>
  </sheetViews>
  <sheetFormatPr defaultRowHeight="13.5"/>
  <cols>
    <col min="1" max="2" width="9" style="135"/>
    <col min="3" max="3" width="8.75" style="135" bestFit="1" customWidth="1"/>
    <col min="4" max="4" width="11.375" style="135" bestFit="1" customWidth="1"/>
    <col min="5" max="5" width="11.5" style="133" bestFit="1" customWidth="1"/>
    <col min="6" max="6" width="20.375" style="135" bestFit="1" customWidth="1"/>
    <col min="7" max="7" width="11.5" style="45" bestFit="1" customWidth="1"/>
    <col min="8" max="8" width="20.375" style="135" bestFit="1" customWidth="1"/>
    <col min="9" max="9" width="11.5" style="45" bestFit="1" customWidth="1"/>
    <col min="10" max="10" width="18.375" style="135" customWidth="1"/>
    <col min="11" max="11" width="8.875" style="115" customWidth="1"/>
    <col min="12" max="16384" width="9" style="135"/>
  </cols>
  <sheetData>
    <row r="1" spans="1:12" s="134" customFormat="1">
      <c r="A1" s="134" t="s">
        <v>543</v>
      </c>
      <c r="B1" s="134" t="s">
        <v>712</v>
      </c>
      <c r="C1" s="134" t="s">
        <v>713</v>
      </c>
      <c r="D1" s="134" t="s">
        <v>714</v>
      </c>
      <c r="E1" s="126" t="s">
        <v>715</v>
      </c>
      <c r="F1" s="134" t="s">
        <v>716</v>
      </c>
      <c r="G1" s="43" t="s">
        <v>715</v>
      </c>
      <c r="H1" s="134" t="s">
        <v>717</v>
      </c>
      <c r="I1" s="43" t="s">
        <v>715</v>
      </c>
      <c r="J1" s="138" t="s">
        <v>718</v>
      </c>
      <c r="K1" s="116" t="s">
        <v>719</v>
      </c>
      <c r="L1" s="134" t="s">
        <v>720</v>
      </c>
    </row>
    <row r="2" spans="1:12" s="134" customFormat="1" ht="15.75" customHeight="1">
      <c r="A2" s="134" t="s">
        <v>668</v>
      </c>
      <c r="B2" s="134" t="s">
        <v>721</v>
      </c>
      <c r="C2" s="134" t="s">
        <v>722</v>
      </c>
      <c r="D2" s="134" t="s">
        <v>723</v>
      </c>
      <c r="E2" s="126"/>
      <c r="F2" s="134" t="s">
        <v>724</v>
      </c>
      <c r="G2" s="43"/>
      <c r="H2" s="134" t="s">
        <v>725</v>
      </c>
      <c r="I2" s="43"/>
      <c r="J2" s="139" t="s">
        <v>726</v>
      </c>
      <c r="K2" s="117" t="s">
        <v>727</v>
      </c>
      <c r="L2" s="134" t="s">
        <v>728</v>
      </c>
    </row>
    <row r="3" spans="1:12" s="134" customFormat="1">
      <c r="A3" s="134" t="s">
        <v>670</v>
      </c>
      <c r="B3" s="134" t="s">
        <v>1329</v>
      </c>
      <c r="C3" s="134" t="s">
        <v>670</v>
      </c>
      <c r="D3" s="134" t="s">
        <v>670</v>
      </c>
      <c r="E3" s="126"/>
      <c r="F3" s="134" t="s">
        <v>670</v>
      </c>
      <c r="G3" s="43"/>
      <c r="H3" s="134" t="s">
        <v>670</v>
      </c>
      <c r="I3" s="43"/>
      <c r="J3" s="139" t="s">
        <v>670</v>
      </c>
      <c r="K3" s="117" t="s">
        <v>670</v>
      </c>
      <c r="L3" s="117" t="s">
        <v>670</v>
      </c>
    </row>
    <row r="4" spans="1:12" s="119" customFormat="1">
      <c r="A4" s="119" t="s">
        <v>729</v>
      </c>
      <c r="E4" s="127"/>
      <c r="G4" s="44"/>
      <c r="I4" s="44"/>
      <c r="K4" s="118"/>
    </row>
    <row r="5" spans="1:12">
      <c r="A5" s="135">
        <v>1</v>
      </c>
      <c r="B5" s="135">
        <v>0</v>
      </c>
      <c r="C5" s="135">
        <v>1</v>
      </c>
      <c r="D5" s="135">
        <v>10000</v>
      </c>
      <c r="E5" s="15">
        <f>D5/10000</f>
        <v>1</v>
      </c>
      <c r="F5" s="135">
        <v>0</v>
      </c>
      <c r="G5" s="45">
        <f>F5/10000</f>
        <v>0</v>
      </c>
      <c r="H5" s="135">
        <v>0</v>
      </c>
      <c r="I5" s="45">
        <f>H5/10000</f>
        <v>0</v>
      </c>
      <c r="J5" s="135">
        <v>1</v>
      </c>
      <c r="K5" s="115">
        <v>0</v>
      </c>
      <c r="L5" s="115">
        <v>0</v>
      </c>
    </row>
    <row r="6" spans="1:12" s="119" customFormat="1">
      <c r="A6" s="119" t="s">
        <v>730</v>
      </c>
      <c r="E6" s="127"/>
      <c r="G6" s="44"/>
      <c r="I6" s="44"/>
      <c r="K6" s="118"/>
    </row>
    <row r="7" spans="1:12">
      <c r="A7" s="135">
        <v>101</v>
      </c>
      <c r="B7" s="135">
        <v>0</v>
      </c>
      <c r="C7" s="135">
        <v>1</v>
      </c>
      <c r="D7" s="135">
        <v>10000</v>
      </c>
      <c r="E7" s="15">
        <f>D7/10000</f>
        <v>1</v>
      </c>
      <c r="F7" s="135">
        <v>0</v>
      </c>
      <c r="G7" s="45">
        <f>F7/10000</f>
        <v>0</v>
      </c>
      <c r="H7" s="135">
        <v>0</v>
      </c>
      <c r="I7" s="45">
        <f>H7/10000</f>
        <v>0</v>
      </c>
      <c r="J7" s="135">
        <v>1</v>
      </c>
      <c r="K7" s="115">
        <v>0</v>
      </c>
      <c r="L7" s="115">
        <v>0</v>
      </c>
    </row>
    <row r="8" spans="1:12" s="119" customFormat="1">
      <c r="A8" s="119" t="s">
        <v>545</v>
      </c>
      <c r="E8" s="127"/>
      <c r="G8" s="44"/>
      <c r="I8" s="44"/>
      <c r="K8" s="118"/>
    </row>
    <row r="9" spans="1:12">
      <c r="A9" s="135">
        <v>201</v>
      </c>
      <c r="B9" s="135">
        <v>0</v>
      </c>
      <c r="C9" s="135">
        <v>1</v>
      </c>
      <c r="D9" s="135">
        <v>10000</v>
      </c>
      <c r="E9" s="15">
        <f>D9/10000</f>
        <v>1</v>
      </c>
      <c r="F9" s="135">
        <v>0</v>
      </c>
      <c r="G9" s="45">
        <f>F9/10000</f>
        <v>0</v>
      </c>
      <c r="H9" s="135">
        <v>0</v>
      </c>
      <c r="I9" s="45">
        <f>H9/10000</f>
        <v>0</v>
      </c>
      <c r="J9" s="135">
        <v>1</v>
      </c>
      <c r="K9" s="115">
        <v>0</v>
      </c>
      <c r="L9" s="115">
        <v>0</v>
      </c>
    </row>
    <row r="10" spans="1:12" s="119" customFormat="1">
      <c r="A10" s="119" t="s">
        <v>731</v>
      </c>
      <c r="E10" s="127"/>
      <c r="G10" s="44"/>
      <c r="I10" s="44"/>
      <c r="K10" s="118"/>
    </row>
    <row r="11" spans="1:12">
      <c r="A11" s="135">
        <v>301</v>
      </c>
      <c r="B11" s="135">
        <v>0</v>
      </c>
      <c r="C11" s="135">
        <v>1</v>
      </c>
      <c r="D11" s="135">
        <v>10000</v>
      </c>
      <c r="E11" s="15">
        <f>D11/10000</f>
        <v>1</v>
      </c>
      <c r="F11" s="135">
        <v>0</v>
      </c>
      <c r="G11" s="45">
        <f>F11/10000</f>
        <v>0</v>
      </c>
      <c r="H11" s="135">
        <v>0</v>
      </c>
      <c r="I11" s="45">
        <f>H11/10000</f>
        <v>0</v>
      </c>
      <c r="J11" s="135">
        <v>1</v>
      </c>
      <c r="K11" s="115">
        <v>0</v>
      </c>
      <c r="L11" s="115">
        <v>0</v>
      </c>
    </row>
    <row r="12" spans="1:12" s="119" customFormat="1">
      <c r="A12" s="119" t="s">
        <v>732</v>
      </c>
      <c r="E12" s="127"/>
      <c r="G12" s="44"/>
      <c r="I12" s="44"/>
      <c r="K12" s="118"/>
    </row>
    <row r="13" spans="1:12">
      <c r="A13" s="135">
        <v>401</v>
      </c>
      <c r="B13" s="135">
        <v>0</v>
      </c>
      <c r="C13" s="135">
        <v>1</v>
      </c>
      <c r="D13" s="135">
        <v>10000</v>
      </c>
      <c r="E13" s="15">
        <f>D13/10000</f>
        <v>1</v>
      </c>
      <c r="F13" s="135">
        <v>0</v>
      </c>
      <c r="G13" s="45">
        <f>F13/10000</f>
        <v>0</v>
      </c>
      <c r="H13" s="135">
        <v>0</v>
      </c>
      <c r="I13" s="45">
        <f>H13/10000</f>
        <v>0</v>
      </c>
      <c r="J13" s="135">
        <v>1</v>
      </c>
      <c r="K13" s="115">
        <v>0</v>
      </c>
      <c r="L13" s="115">
        <v>0</v>
      </c>
    </row>
    <row r="14" spans="1:12" s="119" customFormat="1">
      <c r="A14" s="119" t="s">
        <v>546</v>
      </c>
      <c r="E14" s="127"/>
      <c r="G14" s="44"/>
      <c r="I14" s="44"/>
      <c r="K14" s="118"/>
    </row>
    <row r="15" spans="1:12">
      <c r="A15" s="135">
        <v>501</v>
      </c>
      <c r="B15" s="135">
        <v>0</v>
      </c>
      <c r="C15" s="135">
        <v>1</v>
      </c>
      <c r="D15" s="135">
        <v>10000</v>
      </c>
      <c r="E15" s="15">
        <f>D15/10000</f>
        <v>1</v>
      </c>
      <c r="F15" s="135">
        <v>0</v>
      </c>
      <c r="G15" s="45">
        <f>F15/10000</f>
        <v>0</v>
      </c>
      <c r="H15" s="135">
        <v>0</v>
      </c>
      <c r="I15" s="45">
        <f>H15/10000</f>
        <v>0</v>
      </c>
      <c r="J15" s="135">
        <v>1</v>
      </c>
      <c r="K15" s="115">
        <v>0</v>
      </c>
      <c r="L15" s="115">
        <v>0</v>
      </c>
    </row>
    <row r="16" spans="1:12" s="119" customFormat="1">
      <c r="A16" s="119" t="s">
        <v>733</v>
      </c>
      <c r="E16" s="127"/>
      <c r="G16" s="44"/>
      <c r="I16" s="44"/>
      <c r="K16" s="118"/>
    </row>
    <row r="17" spans="1:12">
      <c r="A17" s="135">
        <v>601</v>
      </c>
      <c r="B17" s="135">
        <v>0</v>
      </c>
      <c r="C17" s="135">
        <v>1</v>
      </c>
      <c r="D17" s="135">
        <v>10000</v>
      </c>
      <c r="E17" s="15">
        <f>D17/10000</f>
        <v>1</v>
      </c>
      <c r="F17" s="135">
        <v>0</v>
      </c>
      <c r="G17" s="45">
        <f>F17/10000</f>
        <v>0</v>
      </c>
      <c r="H17" s="135">
        <v>0</v>
      </c>
      <c r="I17" s="45">
        <f>H17/10000</f>
        <v>0</v>
      </c>
      <c r="J17" s="135">
        <v>1</v>
      </c>
      <c r="K17" s="115">
        <v>0</v>
      </c>
      <c r="L17" s="115">
        <v>0</v>
      </c>
    </row>
    <row r="18" spans="1:12" s="119" customFormat="1">
      <c r="A18" s="119" t="s">
        <v>547</v>
      </c>
      <c r="E18" s="127"/>
      <c r="G18" s="44"/>
      <c r="I18" s="44"/>
      <c r="K18" s="118"/>
    </row>
    <row r="19" spans="1:12">
      <c r="A19" s="135">
        <v>1001</v>
      </c>
      <c r="B19" s="135">
        <v>0</v>
      </c>
      <c r="C19" s="135">
        <v>1</v>
      </c>
      <c r="D19" s="135">
        <v>10000</v>
      </c>
      <c r="E19" s="15">
        <f>D19/10000</f>
        <v>1</v>
      </c>
      <c r="F19" s="135">
        <v>0</v>
      </c>
      <c r="G19" s="45">
        <f>F19/10000</f>
        <v>0</v>
      </c>
      <c r="H19" s="135">
        <v>0</v>
      </c>
      <c r="I19" s="45">
        <f>H19/10000</f>
        <v>0</v>
      </c>
      <c r="J19" s="135">
        <v>1</v>
      </c>
      <c r="K19" s="115">
        <v>0</v>
      </c>
      <c r="L19" s="115">
        <v>0</v>
      </c>
    </row>
    <row r="20" spans="1:12" s="119" customFormat="1">
      <c r="A20" s="119" t="s">
        <v>548</v>
      </c>
      <c r="E20" s="127"/>
      <c r="G20" s="44"/>
      <c r="I20" s="44"/>
      <c r="K20" s="118"/>
    </row>
    <row r="21" spans="1:12">
      <c r="A21" s="135">
        <v>1101</v>
      </c>
      <c r="B21" s="135">
        <v>0</v>
      </c>
      <c r="C21" s="135">
        <v>1</v>
      </c>
      <c r="D21" s="135">
        <v>10000</v>
      </c>
      <c r="E21" s="15">
        <f>D21/10000</f>
        <v>1</v>
      </c>
      <c r="F21" s="135">
        <v>0</v>
      </c>
      <c r="G21" s="45">
        <f>F21/10000</f>
        <v>0</v>
      </c>
      <c r="H21" s="135">
        <v>0</v>
      </c>
      <c r="I21" s="45">
        <f>H21/10000</f>
        <v>0</v>
      </c>
      <c r="J21" s="135">
        <v>1</v>
      </c>
      <c r="K21" s="115">
        <v>0</v>
      </c>
      <c r="L21" s="115">
        <v>0</v>
      </c>
    </row>
    <row r="22" spans="1:12" s="119" customFormat="1">
      <c r="A22" s="119" t="s">
        <v>549</v>
      </c>
      <c r="E22" s="127"/>
      <c r="G22" s="44"/>
      <c r="I22" s="44"/>
      <c r="K22" s="118"/>
    </row>
    <row r="23" spans="1:12">
      <c r="A23" s="135">
        <v>1201</v>
      </c>
      <c r="B23" s="135">
        <v>0</v>
      </c>
      <c r="C23" s="135">
        <v>1</v>
      </c>
      <c r="D23" s="135">
        <v>10000</v>
      </c>
      <c r="E23" s="15">
        <f>D23/10000</f>
        <v>1</v>
      </c>
      <c r="F23" s="135">
        <v>0</v>
      </c>
      <c r="G23" s="45">
        <f>F23/10000</f>
        <v>0</v>
      </c>
      <c r="H23" s="135">
        <v>0</v>
      </c>
      <c r="I23" s="45">
        <f>H23/10000</f>
        <v>0</v>
      </c>
      <c r="J23" s="135">
        <v>1</v>
      </c>
      <c r="K23" s="115">
        <v>0</v>
      </c>
      <c r="L23" s="115">
        <v>0</v>
      </c>
    </row>
    <row r="24" spans="1:12" s="119" customFormat="1">
      <c r="A24" s="119" t="s">
        <v>550</v>
      </c>
      <c r="E24" s="127"/>
      <c r="G24" s="44"/>
      <c r="I24" s="44"/>
      <c r="K24" s="118"/>
    </row>
    <row r="25" spans="1:12">
      <c r="A25" s="135">
        <v>1301</v>
      </c>
      <c r="B25" s="135">
        <v>0</v>
      </c>
      <c r="C25" s="135">
        <v>1</v>
      </c>
      <c r="D25" s="135">
        <v>10000</v>
      </c>
      <c r="E25" s="15">
        <f>D25/10000</f>
        <v>1</v>
      </c>
      <c r="F25" s="135">
        <v>0</v>
      </c>
      <c r="G25" s="45">
        <f>F25/10000</f>
        <v>0</v>
      </c>
      <c r="H25" s="135">
        <v>0</v>
      </c>
      <c r="I25" s="45">
        <f>H25/10000</f>
        <v>0</v>
      </c>
      <c r="J25" s="135">
        <v>1</v>
      </c>
      <c r="K25" s="115">
        <v>0</v>
      </c>
      <c r="L25" s="115">
        <v>0</v>
      </c>
    </row>
    <row r="26" spans="1:12" s="119" customFormat="1">
      <c r="A26" s="119" t="s">
        <v>551</v>
      </c>
      <c r="E26" s="127"/>
      <c r="G26" s="44"/>
      <c r="I26" s="44"/>
      <c r="K26" s="118"/>
    </row>
    <row r="27" spans="1:12">
      <c r="A27" s="135">
        <v>1401</v>
      </c>
      <c r="B27" s="135">
        <v>0</v>
      </c>
      <c r="C27" s="135">
        <v>1</v>
      </c>
      <c r="D27" s="135">
        <v>10000</v>
      </c>
      <c r="E27" s="15">
        <f>D27/10000</f>
        <v>1</v>
      </c>
      <c r="F27" s="135">
        <v>0</v>
      </c>
      <c r="G27" s="45">
        <f>F27/10000</f>
        <v>0</v>
      </c>
      <c r="H27" s="135">
        <v>0</v>
      </c>
      <c r="I27" s="45">
        <f>H27/10000</f>
        <v>0</v>
      </c>
      <c r="J27" s="135">
        <v>1</v>
      </c>
      <c r="K27" s="115">
        <v>0</v>
      </c>
      <c r="L27" s="115">
        <v>0</v>
      </c>
    </row>
    <row r="28" spans="1:12" s="119" customFormat="1">
      <c r="A28" s="119" t="s">
        <v>552</v>
      </c>
      <c r="E28" s="127"/>
      <c r="G28" s="44"/>
      <c r="I28" s="44"/>
      <c r="K28" s="118"/>
    </row>
    <row r="29" spans="1:12">
      <c r="A29" s="135">
        <v>1501</v>
      </c>
      <c r="B29" s="135">
        <v>0</v>
      </c>
      <c r="C29" s="135">
        <v>1</v>
      </c>
      <c r="D29" s="135">
        <v>10000</v>
      </c>
      <c r="E29" s="15">
        <f>D29/10000</f>
        <v>1</v>
      </c>
      <c r="F29" s="135">
        <v>0</v>
      </c>
      <c r="G29" s="45">
        <f>F29/10000</f>
        <v>0</v>
      </c>
      <c r="H29" s="135">
        <v>0</v>
      </c>
      <c r="I29" s="45">
        <f>H29/10000</f>
        <v>0</v>
      </c>
      <c r="J29" s="135">
        <v>1</v>
      </c>
      <c r="K29" s="115">
        <v>0</v>
      </c>
      <c r="L29" s="115">
        <v>0</v>
      </c>
    </row>
    <row r="30" spans="1:12" s="119" customFormat="1">
      <c r="A30" s="119" t="s">
        <v>553</v>
      </c>
      <c r="E30" s="127"/>
      <c r="G30" s="44"/>
      <c r="I30" s="44"/>
      <c r="K30" s="118"/>
    </row>
    <row r="31" spans="1:12">
      <c r="A31" s="135">
        <v>1601</v>
      </c>
      <c r="B31" s="135">
        <v>0</v>
      </c>
      <c r="C31" s="135">
        <v>1</v>
      </c>
      <c r="D31" s="135">
        <v>10000</v>
      </c>
      <c r="E31" s="15">
        <f>D31/10000</f>
        <v>1</v>
      </c>
      <c r="F31" s="135">
        <v>0</v>
      </c>
      <c r="G31" s="45">
        <f>F31/10000</f>
        <v>0</v>
      </c>
      <c r="H31" s="135">
        <v>0</v>
      </c>
      <c r="I31" s="45">
        <f>H31/10000</f>
        <v>0</v>
      </c>
      <c r="J31" s="135">
        <v>1</v>
      </c>
      <c r="K31" s="115">
        <v>0</v>
      </c>
      <c r="L31" s="115">
        <v>0</v>
      </c>
    </row>
    <row r="32" spans="1:12" s="119" customFormat="1">
      <c r="A32" s="119" t="s">
        <v>554</v>
      </c>
      <c r="E32" s="127"/>
      <c r="G32" s="44"/>
      <c r="I32" s="44"/>
      <c r="K32" s="118"/>
    </row>
    <row r="33" spans="1:12">
      <c r="A33" s="135">
        <v>2001</v>
      </c>
      <c r="B33" s="135">
        <v>0</v>
      </c>
      <c r="C33" s="135">
        <v>1</v>
      </c>
      <c r="D33" s="135">
        <v>10000</v>
      </c>
      <c r="E33" s="15">
        <f>D33/10000</f>
        <v>1</v>
      </c>
      <c r="F33" s="135">
        <v>0</v>
      </c>
      <c r="G33" s="45">
        <f>F33/10000</f>
        <v>0</v>
      </c>
      <c r="H33" s="135">
        <v>0</v>
      </c>
      <c r="I33" s="45">
        <f>H33/10000</f>
        <v>0</v>
      </c>
      <c r="J33" s="135">
        <v>1</v>
      </c>
      <c r="K33" s="115">
        <v>0</v>
      </c>
      <c r="L33" s="115">
        <v>0</v>
      </c>
    </row>
    <row r="34" spans="1:12" s="119" customFormat="1">
      <c r="A34" s="119" t="s">
        <v>555</v>
      </c>
      <c r="E34" s="127"/>
      <c r="G34" s="44"/>
      <c r="I34" s="44"/>
      <c r="K34" s="118"/>
    </row>
    <row r="35" spans="1:12">
      <c r="A35" s="135">
        <v>2101</v>
      </c>
      <c r="B35" s="135">
        <v>0</v>
      </c>
      <c r="C35" s="135">
        <v>1</v>
      </c>
      <c r="D35" s="135">
        <v>10000</v>
      </c>
      <c r="E35" s="15">
        <f>D35/10000</f>
        <v>1</v>
      </c>
      <c r="F35" s="135">
        <v>0</v>
      </c>
      <c r="G35" s="45">
        <f>F35/10000</f>
        <v>0</v>
      </c>
      <c r="H35" s="135">
        <v>0</v>
      </c>
      <c r="I35" s="45">
        <f>H35/10000</f>
        <v>0</v>
      </c>
      <c r="J35" s="135">
        <v>1</v>
      </c>
      <c r="K35" s="115">
        <v>0</v>
      </c>
      <c r="L35" s="115">
        <v>0</v>
      </c>
    </row>
    <row r="36" spans="1:12" s="119" customFormat="1">
      <c r="A36" s="119" t="s">
        <v>556</v>
      </c>
      <c r="E36" s="127"/>
      <c r="G36" s="44"/>
      <c r="I36" s="44"/>
      <c r="K36" s="118"/>
    </row>
    <row r="37" spans="1:12">
      <c r="A37" s="135">
        <v>2201</v>
      </c>
      <c r="B37" s="135">
        <v>0</v>
      </c>
      <c r="C37" s="135">
        <v>1</v>
      </c>
      <c r="D37" s="135">
        <v>10000</v>
      </c>
      <c r="E37" s="15">
        <f>D37/10000</f>
        <v>1</v>
      </c>
      <c r="F37" s="135">
        <v>0</v>
      </c>
      <c r="G37" s="45">
        <f>F37/10000</f>
        <v>0</v>
      </c>
      <c r="H37" s="135">
        <v>0</v>
      </c>
      <c r="I37" s="45">
        <f>H37/10000</f>
        <v>0</v>
      </c>
      <c r="J37" s="135">
        <v>1</v>
      </c>
      <c r="K37" s="115">
        <v>0</v>
      </c>
      <c r="L37" s="115">
        <v>0</v>
      </c>
    </row>
    <row r="38" spans="1:12" s="119" customFormat="1">
      <c r="A38" s="119" t="s">
        <v>557</v>
      </c>
      <c r="E38" s="127"/>
      <c r="G38" s="44"/>
      <c r="I38" s="44"/>
      <c r="K38" s="118"/>
    </row>
    <row r="39" spans="1:12">
      <c r="A39" s="135">
        <v>2301</v>
      </c>
      <c r="B39" s="135">
        <v>0</v>
      </c>
      <c r="C39" s="135">
        <v>1</v>
      </c>
      <c r="D39" s="135">
        <v>10000</v>
      </c>
      <c r="E39" s="15">
        <f>D39/10000</f>
        <v>1</v>
      </c>
      <c r="F39" s="135">
        <v>0</v>
      </c>
      <c r="G39" s="45">
        <f>F39/10000</f>
        <v>0</v>
      </c>
      <c r="H39" s="135">
        <v>0</v>
      </c>
      <c r="I39" s="45">
        <f>H39/10000</f>
        <v>0</v>
      </c>
      <c r="J39" s="135">
        <v>1</v>
      </c>
      <c r="K39" s="115">
        <v>0</v>
      </c>
      <c r="L39" s="115">
        <v>0</v>
      </c>
    </row>
    <row r="40" spans="1:12" s="119" customFormat="1">
      <c r="A40" s="119" t="s">
        <v>558</v>
      </c>
      <c r="E40" s="127"/>
      <c r="G40" s="44"/>
      <c r="I40" s="44"/>
      <c r="K40" s="118"/>
    </row>
    <row r="41" spans="1:12">
      <c r="A41" s="135">
        <v>2401</v>
      </c>
      <c r="B41" s="135">
        <v>0</v>
      </c>
      <c r="C41" s="135">
        <v>1</v>
      </c>
      <c r="D41" s="135">
        <v>10000</v>
      </c>
      <c r="E41" s="15">
        <f>D41/10000</f>
        <v>1</v>
      </c>
      <c r="F41" s="135">
        <v>0</v>
      </c>
      <c r="G41" s="45">
        <f>F41/10000</f>
        <v>0</v>
      </c>
      <c r="H41" s="135">
        <v>0</v>
      </c>
      <c r="I41" s="45">
        <f>H41/10000</f>
        <v>0</v>
      </c>
      <c r="J41" s="135">
        <v>1</v>
      </c>
      <c r="K41" s="115">
        <v>0</v>
      </c>
      <c r="L41" s="115">
        <v>0</v>
      </c>
    </row>
    <row r="42" spans="1:12" s="119" customFormat="1">
      <c r="A42" s="119" t="s">
        <v>559</v>
      </c>
      <c r="E42" s="127"/>
      <c r="G42" s="44"/>
      <c r="I42" s="44"/>
      <c r="K42" s="118"/>
    </row>
    <row r="43" spans="1:12">
      <c r="A43" s="135">
        <v>2501</v>
      </c>
      <c r="B43" s="135">
        <v>0</v>
      </c>
      <c r="C43" s="135">
        <v>1</v>
      </c>
      <c r="D43" s="135">
        <v>10000</v>
      </c>
      <c r="E43" s="15">
        <f>D43/10000</f>
        <v>1</v>
      </c>
      <c r="F43" s="135">
        <v>0</v>
      </c>
      <c r="G43" s="45">
        <f>F43/10000</f>
        <v>0</v>
      </c>
      <c r="H43" s="135">
        <v>0</v>
      </c>
      <c r="I43" s="45">
        <f>H43/10000</f>
        <v>0</v>
      </c>
      <c r="J43" s="135">
        <v>1</v>
      </c>
      <c r="K43" s="115">
        <v>0</v>
      </c>
      <c r="L43" s="115">
        <v>0</v>
      </c>
    </row>
    <row r="44" spans="1:12" s="119" customFormat="1">
      <c r="A44" s="119" t="s">
        <v>560</v>
      </c>
      <c r="E44" s="127"/>
      <c r="G44" s="44"/>
      <c r="I44" s="44"/>
      <c r="K44" s="118"/>
    </row>
    <row r="45" spans="1:12">
      <c r="A45" s="135">
        <v>2601</v>
      </c>
      <c r="B45" s="135">
        <v>0</v>
      </c>
      <c r="C45" s="135">
        <v>1</v>
      </c>
      <c r="D45" s="135">
        <v>10000</v>
      </c>
      <c r="E45" s="15">
        <f>D45/10000</f>
        <v>1</v>
      </c>
      <c r="F45" s="135">
        <v>0</v>
      </c>
      <c r="G45" s="45">
        <f>F45/10000</f>
        <v>0</v>
      </c>
      <c r="H45" s="135">
        <v>0</v>
      </c>
      <c r="I45" s="45">
        <f>H45/10000</f>
        <v>0</v>
      </c>
      <c r="J45" s="135">
        <v>1</v>
      </c>
      <c r="K45" s="115">
        <v>0</v>
      </c>
      <c r="L45" s="115">
        <v>0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E52"/>
  <sheetViews>
    <sheetView zoomScale="85" zoomScaleNormal="85" workbookViewId="0">
      <selection activeCell="J30" sqref="J30"/>
    </sheetView>
  </sheetViews>
  <sheetFormatPr defaultRowHeight="13.5"/>
  <cols>
    <col min="1" max="2" width="9" style="99"/>
    <col min="3" max="3" width="12.75" style="99" bestFit="1" customWidth="1"/>
    <col min="4" max="4" width="12.25" style="99" customWidth="1"/>
    <col min="5" max="5" width="11.5" style="15" bestFit="1" customWidth="1"/>
    <col min="6" max="16384" width="9" style="99"/>
  </cols>
  <sheetData>
    <row r="1" spans="1:5" s="141" customFormat="1">
      <c r="A1" s="134" t="s">
        <v>734</v>
      </c>
      <c r="B1" s="134" t="s">
        <v>735</v>
      </c>
      <c r="C1" s="134" t="s">
        <v>736</v>
      </c>
      <c r="D1" s="134" t="s">
        <v>737</v>
      </c>
      <c r="E1" s="140" t="s">
        <v>738</v>
      </c>
    </row>
    <row r="2" spans="1:5" s="141" customFormat="1">
      <c r="A2" s="134" t="s">
        <v>739</v>
      </c>
      <c r="B2" s="134" t="s">
        <v>740</v>
      </c>
      <c r="C2" s="134" t="s">
        <v>741</v>
      </c>
      <c r="D2" s="134" t="s">
        <v>742</v>
      </c>
      <c r="E2" s="140"/>
    </row>
    <row r="3" spans="1:5" s="141" customFormat="1">
      <c r="A3" s="134" t="s">
        <v>743</v>
      </c>
      <c r="B3" s="134" t="s">
        <v>743</v>
      </c>
      <c r="C3" s="134" t="s">
        <v>743</v>
      </c>
      <c r="D3" s="134" t="s">
        <v>743</v>
      </c>
      <c r="E3" s="140"/>
    </row>
    <row r="4" spans="1:5">
      <c r="A4" s="99">
        <v>1</v>
      </c>
      <c r="B4" s="99">
        <v>1</v>
      </c>
      <c r="C4" s="99">
        <v>1</v>
      </c>
      <c r="D4" s="99">
        <v>5000</v>
      </c>
      <c r="E4" s="15">
        <f>D4/10000</f>
        <v>0.5</v>
      </c>
    </row>
    <row r="5" spans="1:5">
      <c r="A5" s="99">
        <v>2</v>
      </c>
      <c r="B5" s="99">
        <v>1</v>
      </c>
      <c r="C5" s="99">
        <v>2</v>
      </c>
      <c r="D5" s="99">
        <v>7500</v>
      </c>
      <c r="E5" s="15">
        <f t="shared" ref="E5:E52" si="0">D5/10000</f>
        <v>0.75</v>
      </c>
    </row>
    <row r="6" spans="1:5">
      <c r="A6" s="99">
        <v>3</v>
      </c>
      <c r="B6" s="99">
        <v>1</v>
      </c>
      <c r="C6" s="99">
        <v>3</v>
      </c>
      <c r="D6" s="99">
        <v>10000</v>
      </c>
      <c r="E6" s="15">
        <f t="shared" si="0"/>
        <v>1</v>
      </c>
    </row>
    <row r="7" spans="1:5">
      <c r="A7" s="99">
        <v>4</v>
      </c>
      <c r="B7" s="99">
        <v>1</v>
      </c>
      <c r="C7" s="99">
        <v>4</v>
      </c>
      <c r="D7" s="99">
        <v>10000</v>
      </c>
      <c r="E7" s="15">
        <f t="shared" si="0"/>
        <v>1</v>
      </c>
    </row>
    <row r="8" spans="1:5">
      <c r="A8" s="99">
        <v>5</v>
      </c>
      <c r="B8" s="99">
        <v>1</v>
      </c>
      <c r="C8" s="99">
        <v>5</v>
      </c>
      <c r="D8" s="99">
        <v>10000</v>
      </c>
      <c r="E8" s="15">
        <f t="shared" si="0"/>
        <v>1</v>
      </c>
    </row>
    <row r="9" spans="1:5">
      <c r="A9" s="99">
        <v>6</v>
      </c>
      <c r="B9" s="99">
        <v>1</v>
      </c>
      <c r="C9" s="99">
        <v>6</v>
      </c>
      <c r="D9" s="99">
        <v>10000</v>
      </c>
      <c r="E9" s="15">
        <f t="shared" si="0"/>
        <v>1</v>
      </c>
    </row>
    <row r="10" spans="1:5">
      <c r="A10" s="99">
        <v>7</v>
      </c>
      <c r="B10" s="99">
        <v>1</v>
      </c>
      <c r="C10" s="99">
        <v>7</v>
      </c>
      <c r="D10" s="99">
        <v>10000</v>
      </c>
      <c r="E10" s="15">
        <f t="shared" si="0"/>
        <v>1</v>
      </c>
    </row>
    <row r="11" spans="1:5">
      <c r="A11" s="99">
        <v>8</v>
      </c>
      <c r="B11" s="99">
        <v>2</v>
      </c>
      <c r="C11" s="99">
        <v>1</v>
      </c>
      <c r="D11" s="99">
        <v>2500</v>
      </c>
      <c r="E11" s="15">
        <f t="shared" si="0"/>
        <v>0.25</v>
      </c>
    </row>
    <row r="12" spans="1:5">
      <c r="A12" s="99">
        <v>9</v>
      </c>
      <c r="B12" s="99">
        <v>2</v>
      </c>
      <c r="C12" s="99">
        <v>2</v>
      </c>
      <c r="D12" s="99">
        <v>5000</v>
      </c>
      <c r="E12" s="15">
        <f t="shared" si="0"/>
        <v>0.5</v>
      </c>
    </row>
    <row r="13" spans="1:5">
      <c r="A13" s="99">
        <v>10</v>
      </c>
      <c r="B13" s="99">
        <v>2</v>
      </c>
      <c r="C13" s="99">
        <v>3</v>
      </c>
      <c r="D13" s="99">
        <v>10000</v>
      </c>
      <c r="E13" s="15">
        <f t="shared" si="0"/>
        <v>1</v>
      </c>
    </row>
    <row r="14" spans="1:5">
      <c r="A14" s="99">
        <v>11</v>
      </c>
      <c r="B14" s="99">
        <v>2</v>
      </c>
      <c r="C14" s="99">
        <v>4</v>
      </c>
      <c r="D14" s="99">
        <v>10000</v>
      </c>
      <c r="E14" s="15">
        <f t="shared" si="0"/>
        <v>1</v>
      </c>
    </row>
    <row r="15" spans="1:5">
      <c r="A15" s="99">
        <v>12</v>
      </c>
      <c r="B15" s="99">
        <v>2</v>
      </c>
      <c r="C15" s="99">
        <v>5</v>
      </c>
      <c r="D15" s="99">
        <v>10000</v>
      </c>
      <c r="E15" s="15">
        <f t="shared" si="0"/>
        <v>1</v>
      </c>
    </row>
    <row r="16" spans="1:5">
      <c r="A16" s="99">
        <v>13</v>
      </c>
      <c r="B16" s="99">
        <v>2</v>
      </c>
      <c r="C16" s="99">
        <v>6</v>
      </c>
      <c r="D16" s="99">
        <v>10000</v>
      </c>
      <c r="E16" s="15">
        <f t="shared" si="0"/>
        <v>1</v>
      </c>
    </row>
    <row r="17" spans="1:5">
      <c r="A17" s="99">
        <v>14</v>
      </c>
      <c r="B17" s="99">
        <v>2</v>
      </c>
      <c r="C17" s="99">
        <v>7</v>
      </c>
      <c r="D17" s="99">
        <v>10000</v>
      </c>
      <c r="E17" s="15">
        <f t="shared" si="0"/>
        <v>1</v>
      </c>
    </row>
    <row r="18" spans="1:5">
      <c r="A18" s="99">
        <v>15</v>
      </c>
      <c r="B18" s="99">
        <v>3</v>
      </c>
      <c r="C18" s="99">
        <v>1</v>
      </c>
      <c r="D18" s="99">
        <v>1000</v>
      </c>
      <c r="E18" s="15">
        <f t="shared" si="0"/>
        <v>0.1</v>
      </c>
    </row>
    <row r="19" spans="1:5">
      <c r="A19" s="99">
        <v>16</v>
      </c>
      <c r="B19" s="99">
        <v>3</v>
      </c>
      <c r="C19" s="99">
        <v>2</v>
      </c>
      <c r="D19" s="99">
        <v>2500</v>
      </c>
      <c r="E19" s="15">
        <f t="shared" si="0"/>
        <v>0.25</v>
      </c>
    </row>
    <row r="20" spans="1:5">
      <c r="A20" s="99">
        <v>17</v>
      </c>
      <c r="B20" s="99">
        <v>3</v>
      </c>
      <c r="C20" s="99">
        <v>3</v>
      </c>
      <c r="D20" s="99">
        <v>5000</v>
      </c>
      <c r="E20" s="15">
        <f t="shared" si="0"/>
        <v>0.5</v>
      </c>
    </row>
    <row r="21" spans="1:5">
      <c r="A21" s="99">
        <v>18</v>
      </c>
      <c r="B21" s="99">
        <v>3</v>
      </c>
      <c r="C21" s="99">
        <v>4</v>
      </c>
      <c r="D21" s="99">
        <v>10000</v>
      </c>
      <c r="E21" s="15">
        <f t="shared" si="0"/>
        <v>1</v>
      </c>
    </row>
    <row r="22" spans="1:5">
      <c r="A22" s="99">
        <v>19</v>
      </c>
      <c r="B22" s="99">
        <v>3</v>
      </c>
      <c r="C22" s="99">
        <v>5</v>
      </c>
      <c r="D22" s="99">
        <v>10000</v>
      </c>
      <c r="E22" s="15">
        <f t="shared" si="0"/>
        <v>1</v>
      </c>
    </row>
    <row r="23" spans="1:5">
      <c r="A23" s="99">
        <v>20</v>
      </c>
      <c r="B23" s="99">
        <v>3</v>
      </c>
      <c r="C23" s="99">
        <v>6</v>
      </c>
      <c r="D23" s="99">
        <v>10000</v>
      </c>
      <c r="E23" s="15">
        <f t="shared" si="0"/>
        <v>1</v>
      </c>
    </row>
    <row r="24" spans="1:5">
      <c r="A24" s="99">
        <v>21</v>
      </c>
      <c r="B24" s="99">
        <v>3</v>
      </c>
      <c r="C24" s="99">
        <v>7</v>
      </c>
      <c r="D24" s="99">
        <v>10000</v>
      </c>
      <c r="E24" s="15">
        <f t="shared" si="0"/>
        <v>1</v>
      </c>
    </row>
    <row r="25" spans="1:5">
      <c r="A25" s="99">
        <v>22</v>
      </c>
      <c r="B25" s="99">
        <v>4</v>
      </c>
      <c r="C25" s="99">
        <v>1</v>
      </c>
      <c r="D25" s="99">
        <v>500</v>
      </c>
      <c r="E25" s="15">
        <f t="shared" si="0"/>
        <v>0.05</v>
      </c>
    </row>
    <row r="26" spans="1:5">
      <c r="A26" s="99">
        <v>23</v>
      </c>
      <c r="B26" s="99">
        <v>4</v>
      </c>
      <c r="C26" s="99">
        <v>2</v>
      </c>
      <c r="D26" s="99">
        <v>1000</v>
      </c>
      <c r="E26" s="15">
        <f t="shared" si="0"/>
        <v>0.1</v>
      </c>
    </row>
    <row r="27" spans="1:5">
      <c r="A27" s="99">
        <v>24</v>
      </c>
      <c r="B27" s="99">
        <v>4</v>
      </c>
      <c r="C27" s="99">
        <v>3</v>
      </c>
      <c r="D27" s="99">
        <v>2500</v>
      </c>
      <c r="E27" s="15">
        <f t="shared" si="0"/>
        <v>0.25</v>
      </c>
    </row>
    <row r="28" spans="1:5">
      <c r="A28" s="99">
        <v>25</v>
      </c>
      <c r="B28" s="99">
        <v>4</v>
      </c>
      <c r="C28" s="99">
        <v>4</v>
      </c>
      <c r="D28" s="99">
        <v>5000</v>
      </c>
      <c r="E28" s="15">
        <f t="shared" si="0"/>
        <v>0.5</v>
      </c>
    </row>
    <row r="29" spans="1:5">
      <c r="A29" s="99">
        <v>26</v>
      </c>
      <c r="B29" s="99">
        <v>4</v>
      </c>
      <c r="C29" s="99">
        <v>5</v>
      </c>
      <c r="D29" s="99">
        <v>10000</v>
      </c>
      <c r="E29" s="15">
        <f t="shared" si="0"/>
        <v>1</v>
      </c>
    </row>
    <row r="30" spans="1:5">
      <c r="A30" s="99">
        <v>27</v>
      </c>
      <c r="B30" s="99">
        <v>4</v>
      </c>
      <c r="C30" s="99">
        <v>6</v>
      </c>
      <c r="D30" s="99">
        <v>10000</v>
      </c>
      <c r="E30" s="15">
        <f t="shared" si="0"/>
        <v>1</v>
      </c>
    </row>
    <row r="31" spans="1:5">
      <c r="A31" s="99">
        <v>28</v>
      </c>
      <c r="B31" s="99">
        <v>4</v>
      </c>
      <c r="C31" s="99">
        <v>7</v>
      </c>
      <c r="D31" s="99">
        <v>10000</v>
      </c>
      <c r="E31" s="15">
        <f t="shared" si="0"/>
        <v>1</v>
      </c>
    </row>
    <row r="32" spans="1:5">
      <c r="A32" s="99">
        <v>29</v>
      </c>
      <c r="B32" s="99">
        <v>5</v>
      </c>
      <c r="C32" s="99">
        <v>1</v>
      </c>
      <c r="D32" s="99">
        <v>500</v>
      </c>
      <c r="E32" s="15">
        <f t="shared" si="0"/>
        <v>0.05</v>
      </c>
    </row>
    <row r="33" spans="1:5">
      <c r="A33" s="99">
        <v>30</v>
      </c>
      <c r="B33" s="99">
        <v>5</v>
      </c>
      <c r="C33" s="99">
        <v>2</v>
      </c>
      <c r="D33" s="99">
        <v>500</v>
      </c>
      <c r="E33" s="15">
        <f t="shared" si="0"/>
        <v>0.05</v>
      </c>
    </row>
    <row r="34" spans="1:5">
      <c r="A34" s="99">
        <v>31</v>
      </c>
      <c r="B34" s="99">
        <v>5</v>
      </c>
      <c r="C34" s="99">
        <v>3</v>
      </c>
      <c r="D34" s="99">
        <v>1000</v>
      </c>
      <c r="E34" s="15">
        <f t="shared" si="0"/>
        <v>0.1</v>
      </c>
    </row>
    <row r="35" spans="1:5">
      <c r="A35" s="99">
        <v>32</v>
      </c>
      <c r="B35" s="99">
        <v>5</v>
      </c>
      <c r="C35" s="99">
        <v>4</v>
      </c>
      <c r="D35" s="99">
        <v>2500</v>
      </c>
      <c r="E35" s="15">
        <f t="shared" si="0"/>
        <v>0.25</v>
      </c>
    </row>
    <row r="36" spans="1:5">
      <c r="A36" s="99">
        <v>33</v>
      </c>
      <c r="B36" s="99">
        <v>5</v>
      </c>
      <c r="C36" s="99">
        <v>5</v>
      </c>
      <c r="D36" s="99">
        <v>5000</v>
      </c>
      <c r="E36" s="15">
        <f t="shared" si="0"/>
        <v>0.5</v>
      </c>
    </row>
    <row r="37" spans="1:5">
      <c r="A37" s="99">
        <v>34</v>
      </c>
      <c r="B37" s="99">
        <v>5</v>
      </c>
      <c r="C37" s="99">
        <v>6</v>
      </c>
      <c r="D37" s="99">
        <v>10000</v>
      </c>
      <c r="E37" s="15">
        <f t="shared" si="0"/>
        <v>1</v>
      </c>
    </row>
    <row r="38" spans="1:5">
      <c r="A38" s="99">
        <v>35</v>
      </c>
      <c r="B38" s="99">
        <v>5</v>
      </c>
      <c r="C38" s="99">
        <v>7</v>
      </c>
      <c r="D38" s="99">
        <v>10000</v>
      </c>
      <c r="E38" s="15">
        <f t="shared" si="0"/>
        <v>1</v>
      </c>
    </row>
    <row r="39" spans="1:5">
      <c r="A39" s="99">
        <v>36</v>
      </c>
      <c r="B39" s="99">
        <v>6</v>
      </c>
      <c r="C39" s="99">
        <v>1</v>
      </c>
      <c r="D39" s="99">
        <v>500</v>
      </c>
      <c r="E39" s="15">
        <f t="shared" si="0"/>
        <v>0.05</v>
      </c>
    </row>
    <row r="40" spans="1:5">
      <c r="A40" s="99">
        <v>37</v>
      </c>
      <c r="B40" s="99">
        <v>6</v>
      </c>
      <c r="C40" s="99">
        <v>2</v>
      </c>
      <c r="D40" s="99">
        <v>500</v>
      </c>
      <c r="E40" s="15">
        <f t="shared" si="0"/>
        <v>0.05</v>
      </c>
    </row>
    <row r="41" spans="1:5">
      <c r="A41" s="99">
        <v>38</v>
      </c>
      <c r="B41" s="99">
        <v>6</v>
      </c>
      <c r="C41" s="99">
        <v>3</v>
      </c>
      <c r="D41" s="99">
        <v>500</v>
      </c>
      <c r="E41" s="15">
        <f t="shared" si="0"/>
        <v>0.05</v>
      </c>
    </row>
    <row r="42" spans="1:5">
      <c r="A42" s="99">
        <v>39</v>
      </c>
      <c r="B42" s="99">
        <v>6</v>
      </c>
      <c r="C42" s="99">
        <v>4</v>
      </c>
      <c r="D42" s="99">
        <v>1000</v>
      </c>
      <c r="E42" s="15">
        <f t="shared" si="0"/>
        <v>0.1</v>
      </c>
    </row>
    <row r="43" spans="1:5">
      <c r="A43" s="99">
        <v>40</v>
      </c>
      <c r="B43" s="99">
        <v>6</v>
      </c>
      <c r="C43" s="99">
        <v>5</v>
      </c>
      <c r="D43" s="99">
        <v>2500</v>
      </c>
      <c r="E43" s="15">
        <f t="shared" si="0"/>
        <v>0.25</v>
      </c>
    </row>
    <row r="44" spans="1:5">
      <c r="A44" s="99">
        <v>41</v>
      </c>
      <c r="B44" s="99">
        <v>6</v>
      </c>
      <c r="C44" s="99">
        <v>6</v>
      </c>
      <c r="D44" s="99">
        <v>5000</v>
      </c>
      <c r="E44" s="15">
        <f t="shared" si="0"/>
        <v>0.5</v>
      </c>
    </row>
    <row r="45" spans="1:5">
      <c r="A45" s="99">
        <v>42</v>
      </c>
      <c r="B45" s="99">
        <v>6</v>
      </c>
      <c r="C45" s="99">
        <v>7</v>
      </c>
      <c r="D45" s="99">
        <v>10000</v>
      </c>
      <c r="E45" s="15">
        <f t="shared" si="0"/>
        <v>1</v>
      </c>
    </row>
    <row r="46" spans="1:5">
      <c r="A46" s="99">
        <v>43</v>
      </c>
      <c r="B46" s="99">
        <v>7</v>
      </c>
      <c r="C46" s="99">
        <v>1</v>
      </c>
      <c r="D46" s="99">
        <v>500</v>
      </c>
      <c r="E46" s="15">
        <f t="shared" si="0"/>
        <v>0.05</v>
      </c>
    </row>
    <row r="47" spans="1:5">
      <c r="A47" s="99">
        <v>44</v>
      </c>
      <c r="B47" s="99">
        <v>7</v>
      </c>
      <c r="C47" s="99">
        <v>2</v>
      </c>
      <c r="D47" s="99">
        <v>500</v>
      </c>
      <c r="E47" s="15">
        <f t="shared" si="0"/>
        <v>0.05</v>
      </c>
    </row>
    <row r="48" spans="1:5">
      <c r="A48" s="99">
        <v>45</v>
      </c>
      <c r="B48" s="99">
        <v>7</v>
      </c>
      <c r="C48" s="99">
        <v>3</v>
      </c>
      <c r="D48" s="99">
        <v>500</v>
      </c>
      <c r="E48" s="15">
        <f t="shared" si="0"/>
        <v>0.05</v>
      </c>
    </row>
    <row r="49" spans="1:5">
      <c r="A49" s="99">
        <v>46</v>
      </c>
      <c r="B49" s="99">
        <v>7</v>
      </c>
      <c r="C49" s="99">
        <v>4</v>
      </c>
      <c r="D49" s="99">
        <v>500</v>
      </c>
      <c r="E49" s="15">
        <f t="shared" si="0"/>
        <v>0.05</v>
      </c>
    </row>
    <row r="50" spans="1:5">
      <c r="A50" s="99">
        <v>47</v>
      </c>
      <c r="B50" s="99">
        <v>7</v>
      </c>
      <c r="C50" s="99">
        <v>5</v>
      </c>
      <c r="D50" s="99">
        <v>1000</v>
      </c>
      <c r="E50" s="15">
        <f t="shared" si="0"/>
        <v>0.1</v>
      </c>
    </row>
    <row r="51" spans="1:5">
      <c r="A51" s="99">
        <v>48</v>
      </c>
      <c r="B51" s="99">
        <v>7</v>
      </c>
      <c r="C51" s="99">
        <v>6</v>
      </c>
      <c r="D51" s="99">
        <v>2500</v>
      </c>
      <c r="E51" s="15">
        <f t="shared" si="0"/>
        <v>0.25</v>
      </c>
    </row>
    <row r="52" spans="1:5">
      <c r="A52" s="99">
        <v>49</v>
      </c>
      <c r="B52" s="99">
        <v>7</v>
      </c>
      <c r="C52" s="99">
        <v>7</v>
      </c>
      <c r="D52" s="99">
        <v>5000</v>
      </c>
      <c r="E52" s="15">
        <f t="shared" si="0"/>
        <v>0.5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1"/>
  <dimension ref="A1:U6"/>
  <sheetViews>
    <sheetView zoomScale="85" zoomScaleNormal="85" workbookViewId="0">
      <selection activeCell="I76" sqref="I76"/>
    </sheetView>
  </sheetViews>
  <sheetFormatPr defaultRowHeight="13.5"/>
  <cols>
    <col min="1" max="1" width="9" style="99"/>
    <col min="2" max="2" width="12.625" style="99" bestFit="1" customWidth="1"/>
    <col min="3" max="3" width="12.375" style="99" bestFit="1" customWidth="1"/>
    <col min="4" max="4" width="12.625" style="99" bestFit="1" customWidth="1"/>
    <col min="5" max="5" width="12.375" style="99" bestFit="1" customWidth="1"/>
    <col min="6" max="6" width="12.625" style="99" bestFit="1" customWidth="1"/>
    <col min="7" max="7" width="12.375" style="99" bestFit="1" customWidth="1"/>
    <col min="8" max="8" width="12.625" style="99" bestFit="1" customWidth="1"/>
    <col min="9" max="9" width="12.375" style="99" bestFit="1" customWidth="1"/>
    <col min="10" max="10" width="12.625" style="99" bestFit="1" customWidth="1"/>
    <col min="11" max="11" width="12.375" style="99" bestFit="1" customWidth="1"/>
    <col min="12" max="12" width="12.625" style="99" bestFit="1" customWidth="1"/>
    <col min="13" max="13" width="12.375" style="99" bestFit="1" customWidth="1"/>
    <col min="14" max="14" width="12.625" style="99" bestFit="1" customWidth="1"/>
    <col min="15" max="15" width="12.375" style="99" bestFit="1" customWidth="1"/>
    <col min="16" max="16" width="12.625" style="99" bestFit="1" customWidth="1"/>
    <col min="17" max="17" width="12.375" style="99" bestFit="1" customWidth="1"/>
    <col min="18" max="18" width="12.625" style="99" bestFit="1" customWidth="1"/>
    <col min="19" max="19" width="12.375" style="99" bestFit="1" customWidth="1"/>
    <col min="20" max="20" width="12.625" style="99" bestFit="1" customWidth="1"/>
    <col min="21" max="21" width="12.375" style="99" bestFit="1" customWidth="1"/>
    <col min="22" max="16384" width="9" style="99"/>
  </cols>
  <sheetData>
    <row r="1" spans="1:21" s="141" customFormat="1">
      <c r="A1" s="134" t="s">
        <v>744</v>
      </c>
      <c r="B1" s="134" t="s">
        <v>561</v>
      </c>
      <c r="C1" s="134" t="s">
        <v>562</v>
      </c>
      <c r="D1" s="134" t="s">
        <v>563</v>
      </c>
      <c r="E1" s="134" t="s">
        <v>564</v>
      </c>
      <c r="F1" s="134" t="s">
        <v>565</v>
      </c>
      <c r="G1" s="134" t="s">
        <v>566</v>
      </c>
      <c r="H1" s="134" t="s">
        <v>567</v>
      </c>
      <c r="I1" s="134" t="s">
        <v>568</v>
      </c>
      <c r="J1" s="134" t="s">
        <v>569</v>
      </c>
      <c r="K1" s="134" t="s">
        <v>570</v>
      </c>
      <c r="L1" s="134" t="s">
        <v>571</v>
      </c>
      <c r="M1" s="134" t="s">
        <v>572</v>
      </c>
      <c r="N1" s="134" t="s">
        <v>573</v>
      </c>
      <c r="O1" s="134" t="s">
        <v>574</v>
      </c>
      <c r="P1" s="134" t="s">
        <v>575</v>
      </c>
      <c r="Q1" s="134" t="s">
        <v>576</v>
      </c>
      <c r="R1" s="134" t="s">
        <v>577</v>
      </c>
      <c r="S1" s="134" t="s">
        <v>578</v>
      </c>
      <c r="T1" s="134" t="s">
        <v>579</v>
      </c>
      <c r="U1" s="134" t="s">
        <v>580</v>
      </c>
    </row>
    <row r="2" spans="1:21" s="141" customFormat="1">
      <c r="A2" s="134" t="s">
        <v>540</v>
      </c>
      <c r="B2" s="134" t="s">
        <v>581</v>
      </c>
      <c r="C2" s="134" t="s">
        <v>582</v>
      </c>
      <c r="D2" s="134" t="s">
        <v>583</v>
      </c>
      <c r="E2" s="134" t="s">
        <v>584</v>
      </c>
      <c r="F2" s="134" t="s">
        <v>585</v>
      </c>
      <c r="G2" s="134" t="s">
        <v>586</v>
      </c>
      <c r="H2" s="134" t="s">
        <v>587</v>
      </c>
      <c r="I2" s="134" t="s">
        <v>588</v>
      </c>
      <c r="J2" s="134" t="s">
        <v>589</v>
      </c>
      <c r="K2" s="134" t="s">
        <v>590</v>
      </c>
      <c r="L2" s="134" t="s">
        <v>591</v>
      </c>
      <c r="M2" s="134" t="s">
        <v>592</v>
      </c>
      <c r="N2" s="134" t="s">
        <v>593</v>
      </c>
      <c r="O2" s="134" t="s">
        <v>594</v>
      </c>
      <c r="P2" s="134" t="s">
        <v>595</v>
      </c>
      <c r="Q2" s="134" t="s">
        <v>596</v>
      </c>
      <c r="R2" s="134" t="s">
        <v>597</v>
      </c>
      <c r="S2" s="134" t="s">
        <v>598</v>
      </c>
      <c r="T2" s="134" t="s">
        <v>599</v>
      </c>
      <c r="U2" s="134" t="s">
        <v>600</v>
      </c>
    </row>
    <row r="3" spans="1:21" s="141" customFormat="1">
      <c r="A3" s="134" t="s">
        <v>541</v>
      </c>
      <c r="B3" s="134" t="s">
        <v>541</v>
      </c>
      <c r="C3" s="134" t="s">
        <v>541</v>
      </c>
      <c r="D3" s="134" t="s">
        <v>541</v>
      </c>
      <c r="E3" s="134" t="s">
        <v>541</v>
      </c>
      <c r="F3" s="134" t="s">
        <v>541</v>
      </c>
      <c r="G3" s="134" t="s">
        <v>541</v>
      </c>
      <c r="H3" s="134" t="s">
        <v>541</v>
      </c>
      <c r="I3" s="134" t="s">
        <v>541</v>
      </c>
      <c r="J3" s="134" t="s">
        <v>541</v>
      </c>
      <c r="K3" s="134" t="s">
        <v>541</v>
      </c>
      <c r="L3" s="134" t="s">
        <v>541</v>
      </c>
      <c r="M3" s="134" t="s">
        <v>541</v>
      </c>
      <c r="N3" s="134" t="s">
        <v>541</v>
      </c>
      <c r="O3" s="134" t="s">
        <v>541</v>
      </c>
      <c r="P3" s="134" t="s">
        <v>541</v>
      </c>
      <c r="Q3" s="134" t="s">
        <v>541</v>
      </c>
      <c r="R3" s="134" t="s">
        <v>541</v>
      </c>
      <c r="S3" s="134" t="s">
        <v>541</v>
      </c>
      <c r="T3" s="134" t="s">
        <v>541</v>
      </c>
      <c r="U3" s="134" t="s">
        <v>541</v>
      </c>
    </row>
    <row r="4" spans="1:21" s="119" customFormat="1">
      <c r="A4" s="119" t="s">
        <v>601</v>
      </c>
      <c r="E4" s="127"/>
      <c r="G4" s="44"/>
      <c r="I4" s="44"/>
      <c r="K4" s="118"/>
    </row>
    <row r="5" spans="1:21" s="119" customFormat="1">
      <c r="A5" s="119" t="s">
        <v>602</v>
      </c>
      <c r="E5" s="127"/>
      <c r="G5" s="44"/>
      <c r="I5" s="44"/>
      <c r="K5" s="118"/>
    </row>
    <row r="6" spans="1:21">
      <c r="A6" s="99">
        <v>1</v>
      </c>
      <c r="B6" s="99">
        <v>0</v>
      </c>
      <c r="C6" s="99">
        <v>0</v>
      </c>
      <c r="D6" s="99">
        <v>0</v>
      </c>
      <c r="E6" s="99">
        <v>0</v>
      </c>
      <c r="F6" s="99">
        <v>0</v>
      </c>
      <c r="G6" s="99">
        <v>0</v>
      </c>
      <c r="H6" s="99">
        <v>0</v>
      </c>
      <c r="I6" s="99">
        <v>0</v>
      </c>
      <c r="J6" s="99">
        <v>0</v>
      </c>
      <c r="K6" s="99">
        <v>0</v>
      </c>
      <c r="L6" s="99">
        <v>0</v>
      </c>
      <c r="M6" s="99">
        <v>0</v>
      </c>
      <c r="N6" s="99">
        <v>0</v>
      </c>
      <c r="O6" s="99">
        <v>0</v>
      </c>
      <c r="P6" s="99">
        <v>0</v>
      </c>
      <c r="Q6" s="99">
        <v>0</v>
      </c>
      <c r="R6" s="99">
        <v>0</v>
      </c>
      <c r="S6" s="99">
        <v>0</v>
      </c>
      <c r="T6" s="99">
        <v>0</v>
      </c>
      <c r="U6" s="99">
        <v>0</v>
      </c>
    </row>
  </sheetData>
  <phoneticPr fontId="10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W5"/>
  <sheetViews>
    <sheetView zoomScale="85" zoomScaleNormal="85" workbookViewId="0">
      <pane ySplit="3" topLeftCell="A4" activePane="bottomLeft" state="frozen"/>
      <selection activeCell="AC80" sqref="AC79:AC80"/>
      <selection pane="bottomLeft" activeCell="G3" sqref="G3"/>
    </sheetView>
  </sheetViews>
  <sheetFormatPr defaultRowHeight="13.5"/>
  <cols>
    <col min="1" max="1" width="16.375" style="135" customWidth="1"/>
    <col min="2" max="2" width="10.375" style="135" bestFit="1" customWidth="1"/>
    <col min="3" max="3" width="22.625" style="133" customWidth="1"/>
    <col min="4" max="5" width="10.375" style="135" bestFit="1" customWidth="1"/>
    <col min="6" max="7" width="10.375" style="135" customWidth="1"/>
    <col min="8" max="8" width="12.625" style="135" bestFit="1" customWidth="1"/>
    <col min="9" max="9" width="9.875" style="135" bestFit="1" customWidth="1"/>
    <col min="10" max="10" width="13.25" style="135" bestFit="1" customWidth="1"/>
    <col min="11" max="11" width="13.25" style="135" customWidth="1"/>
    <col min="12" max="12" width="8.375" style="135" bestFit="1" customWidth="1"/>
    <col min="13" max="13" width="13.25" style="135" bestFit="1" customWidth="1"/>
    <col min="14" max="14" width="13.25" style="135" customWidth="1"/>
    <col min="15" max="15" width="8.375" style="135" bestFit="1" customWidth="1"/>
    <col min="16" max="16" width="13.25" style="135" bestFit="1" customWidth="1"/>
    <col min="17" max="17" width="13.25" style="135" customWidth="1"/>
    <col min="18" max="18" width="8.375" style="135" bestFit="1" customWidth="1"/>
    <col min="19" max="19" width="16" style="135" bestFit="1" customWidth="1"/>
    <col min="20" max="20" width="15.75" style="135" bestFit="1" customWidth="1"/>
    <col min="21" max="23" width="18.125" style="135" bestFit="1" customWidth="1"/>
    <col min="24" max="16384" width="9" style="135"/>
  </cols>
  <sheetData>
    <row r="1" spans="1:23" s="134" customFormat="1">
      <c r="A1" s="134" t="s">
        <v>744</v>
      </c>
      <c r="B1" s="134" t="s">
        <v>745</v>
      </c>
      <c r="C1" s="126" t="s">
        <v>746</v>
      </c>
      <c r="D1" s="134" t="s">
        <v>747</v>
      </c>
      <c r="E1" s="134" t="s">
        <v>748</v>
      </c>
      <c r="F1" s="134" t="s">
        <v>749</v>
      </c>
      <c r="G1" s="134" t="s">
        <v>750</v>
      </c>
      <c r="H1" s="134" t="s">
        <v>751</v>
      </c>
      <c r="I1" s="134" t="s">
        <v>752</v>
      </c>
      <c r="J1" s="134" t="s">
        <v>753</v>
      </c>
      <c r="K1" s="138" t="s">
        <v>754</v>
      </c>
      <c r="L1" s="134" t="s">
        <v>755</v>
      </c>
      <c r="M1" s="134" t="s">
        <v>756</v>
      </c>
      <c r="N1" s="139" t="s">
        <v>757</v>
      </c>
      <c r="O1" s="134" t="s">
        <v>758</v>
      </c>
      <c r="P1" s="134" t="s">
        <v>759</v>
      </c>
      <c r="Q1" s="139" t="s">
        <v>760</v>
      </c>
      <c r="R1" s="134" t="s">
        <v>761</v>
      </c>
      <c r="S1" s="134" t="s">
        <v>762</v>
      </c>
      <c r="T1" s="134" t="s">
        <v>763</v>
      </c>
      <c r="U1" s="134" t="s">
        <v>764</v>
      </c>
      <c r="V1" s="134" t="s">
        <v>765</v>
      </c>
      <c r="W1" s="134" t="s">
        <v>766</v>
      </c>
    </row>
    <row r="2" spans="1:23" s="134" customFormat="1" ht="15.75" customHeight="1">
      <c r="A2" s="134" t="s">
        <v>767</v>
      </c>
      <c r="B2" s="134" t="s">
        <v>768</v>
      </c>
      <c r="C2" s="126"/>
      <c r="D2" s="134" t="s">
        <v>769</v>
      </c>
      <c r="E2" s="134" t="s">
        <v>770</v>
      </c>
      <c r="F2" s="134" t="s">
        <v>771</v>
      </c>
      <c r="G2" s="134" t="s">
        <v>772</v>
      </c>
      <c r="H2" s="134" t="s">
        <v>773</v>
      </c>
      <c r="I2" s="134" t="s">
        <v>774</v>
      </c>
      <c r="J2" s="134" t="s">
        <v>775</v>
      </c>
      <c r="K2" s="139" t="s">
        <v>776</v>
      </c>
      <c r="L2" s="134" t="s">
        <v>777</v>
      </c>
      <c r="M2" s="134" t="s">
        <v>778</v>
      </c>
      <c r="N2" s="139" t="s">
        <v>779</v>
      </c>
      <c r="O2" s="134" t="s">
        <v>780</v>
      </c>
      <c r="P2" s="134" t="s">
        <v>781</v>
      </c>
      <c r="Q2" s="139" t="s">
        <v>782</v>
      </c>
      <c r="R2" s="134" t="s">
        <v>783</v>
      </c>
      <c r="S2" s="134" t="s">
        <v>784</v>
      </c>
      <c r="T2" s="134" t="s">
        <v>785</v>
      </c>
      <c r="U2" s="134" t="s">
        <v>786</v>
      </c>
      <c r="V2" s="134" t="s">
        <v>787</v>
      </c>
      <c r="W2" s="134" t="s">
        <v>788</v>
      </c>
    </row>
    <row r="3" spans="1:23" s="134" customFormat="1">
      <c r="A3" s="134" t="s">
        <v>670</v>
      </c>
      <c r="B3" s="134" t="s">
        <v>670</v>
      </c>
      <c r="C3" s="126"/>
      <c r="D3" s="134" t="s">
        <v>1330</v>
      </c>
      <c r="E3" s="134" t="s">
        <v>1330</v>
      </c>
      <c r="F3" s="134" t="s">
        <v>670</v>
      </c>
      <c r="G3" s="134" t="s">
        <v>1330</v>
      </c>
      <c r="H3" s="134" t="s">
        <v>670</v>
      </c>
      <c r="I3" s="134" t="s">
        <v>670</v>
      </c>
      <c r="J3" s="134" t="s">
        <v>670</v>
      </c>
      <c r="K3" s="139" t="s">
        <v>670</v>
      </c>
      <c r="L3" s="134" t="s">
        <v>670</v>
      </c>
      <c r="M3" s="134" t="s">
        <v>670</v>
      </c>
      <c r="N3" s="139" t="s">
        <v>670</v>
      </c>
      <c r="O3" s="134" t="s">
        <v>670</v>
      </c>
      <c r="P3" s="134" t="s">
        <v>670</v>
      </c>
      <c r="Q3" s="139" t="s">
        <v>670</v>
      </c>
      <c r="R3" s="134" t="s">
        <v>670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</row>
    <row r="4" spans="1:23" s="142" customFormat="1">
      <c r="A4" s="142" t="s">
        <v>789</v>
      </c>
    </row>
    <row r="5" spans="1:23">
      <c r="A5" s="136">
        <v>1</v>
      </c>
      <c r="B5" s="129">
        <v>0</v>
      </c>
      <c r="C5" s="128" t="e">
        <f>VLOOKUP(B5,Multilingual!$A$5:$AD$9685,2)</f>
        <v>#N/A</v>
      </c>
      <c r="D5" s="136">
        <v>1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  <c r="N5" s="136">
        <v>0</v>
      </c>
      <c r="O5" s="136">
        <v>0</v>
      </c>
      <c r="P5" s="136">
        <v>0</v>
      </c>
      <c r="Q5" s="136">
        <v>0</v>
      </c>
      <c r="R5" s="136">
        <v>0</v>
      </c>
      <c r="S5" s="136">
        <v>0</v>
      </c>
      <c r="T5" s="136">
        <v>0</v>
      </c>
      <c r="U5" s="136">
        <v>0</v>
      </c>
      <c r="V5" s="136">
        <v>0</v>
      </c>
      <c r="W5" s="136"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8"/>
  <sheetViews>
    <sheetView zoomScale="85" zoomScaleNormal="85" workbookViewId="0">
      <pane ySplit="3" topLeftCell="A4" activePane="bottomLeft" state="frozen"/>
      <selection activeCell="AC80" sqref="AC79:AC80"/>
      <selection pane="bottomLeft" activeCell="H21" sqref="H21"/>
    </sheetView>
  </sheetViews>
  <sheetFormatPr defaultRowHeight="13.5"/>
  <cols>
    <col min="1" max="1" width="9" style="135"/>
    <col min="2" max="2" width="11.25" style="135" bestFit="1" customWidth="1"/>
    <col min="3" max="4" width="9" style="135"/>
    <col min="5" max="5" width="8.75" style="135" bestFit="1" customWidth="1"/>
    <col min="6" max="6" width="10.375" style="135" bestFit="1" customWidth="1"/>
    <col min="7" max="7" width="13.125" style="135" bestFit="1" customWidth="1"/>
    <col min="8" max="8" width="15" style="135" bestFit="1" customWidth="1"/>
    <col min="9" max="9" width="13.125" style="135" bestFit="1" customWidth="1"/>
    <col min="10" max="12" width="13.375" style="135" bestFit="1" customWidth="1"/>
    <col min="13" max="16384" width="9" style="135"/>
  </cols>
  <sheetData>
    <row r="1" spans="1:12" s="134" customFormat="1">
      <c r="A1" s="134" t="s">
        <v>790</v>
      </c>
      <c r="B1" s="138" t="s">
        <v>791</v>
      </c>
      <c r="C1" s="134" t="s">
        <v>792</v>
      </c>
      <c r="D1" s="139" t="s">
        <v>793</v>
      </c>
      <c r="E1" s="134" t="s">
        <v>794</v>
      </c>
      <c r="F1" s="134" t="s">
        <v>795</v>
      </c>
      <c r="G1" s="134" t="s">
        <v>796</v>
      </c>
      <c r="H1" s="134" t="s">
        <v>797</v>
      </c>
      <c r="I1" s="134" t="s">
        <v>798</v>
      </c>
      <c r="J1" s="134" t="s">
        <v>799</v>
      </c>
      <c r="K1" s="134" t="s">
        <v>800</v>
      </c>
      <c r="L1" s="134" t="s">
        <v>801</v>
      </c>
    </row>
    <row r="2" spans="1:12" s="134" customFormat="1" ht="15.75" customHeight="1">
      <c r="A2" s="134" t="s">
        <v>668</v>
      </c>
      <c r="B2" s="139" t="s">
        <v>802</v>
      </c>
      <c r="C2" s="134" t="s">
        <v>771</v>
      </c>
      <c r="D2" s="139" t="s">
        <v>772</v>
      </c>
      <c r="E2" s="134" t="s">
        <v>803</v>
      </c>
      <c r="F2" s="134" t="s">
        <v>804</v>
      </c>
      <c r="G2" s="134" t="s">
        <v>805</v>
      </c>
      <c r="H2" s="134" t="s">
        <v>806</v>
      </c>
      <c r="I2" s="134" t="s">
        <v>807</v>
      </c>
      <c r="J2" s="134" t="s">
        <v>808</v>
      </c>
      <c r="K2" s="134" t="s">
        <v>809</v>
      </c>
      <c r="L2" s="134" t="s">
        <v>810</v>
      </c>
    </row>
    <row r="3" spans="1:12" s="134" customFormat="1">
      <c r="A3" s="134" t="s">
        <v>670</v>
      </c>
      <c r="B3" s="139" t="s">
        <v>670</v>
      </c>
      <c r="C3" s="134" t="s">
        <v>670</v>
      </c>
      <c r="D3" s="139" t="s">
        <v>1327</v>
      </c>
      <c r="E3" s="134" t="s">
        <v>541</v>
      </c>
      <c r="F3" s="134" t="s">
        <v>1331</v>
      </c>
      <c r="G3" s="134" t="s">
        <v>670</v>
      </c>
      <c r="H3" s="134" t="s">
        <v>670</v>
      </c>
      <c r="I3" s="134" t="s">
        <v>670</v>
      </c>
      <c r="J3" s="134" t="s">
        <v>670</v>
      </c>
      <c r="K3" s="134" t="s">
        <v>670</v>
      </c>
      <c r="L3" s="134" t="s">
        <v>670</v>
      </c>
    </row>
    <row r="4" spans="1:12" s="124" customFormat="1">
      <c r="A4" s="123" t="s">
        <v>811</v>
      </c>
    </row>
    <row r="5" spans="1:12">
      <c r="A5" s="135">
        <v>1</v>
      </c>
      <c r="B5" s="135">
        <v>1</v>
      </c>
      <c r="C5" s="135">
        <v>101</v>
      </c>
      <c r="D5" s="135">
        <v>1</v>
      </c>
      <c r="E5" s="135">
        <v>7</v>
      </c>
      <c r="F5" s="135">
        <v>1</v>
      </c>
      <c r="G5" s="135">
        <v>1</v>
      </c>
      <c r="H5" s="135">
        <v>2</v>
      </c>
      <c r="I5" s="135">
        <v>3</v>
      </c>
      <c r="J5" s="135">
        <v>1</v>
      </c>
      <c r="K5" s="135">
        <v>2</v>
      </c>
      <c r="L5" s="135">
        <v>3</v>
      </c>
    </row>
    <row r="6" spans="1:12">
      <c r="A6" s="135">
        <v>2</v>
      </c>
      <c r="B6" s="135">
        <v>1</v>
      </c>
      <c r="C6" s="135">
        <v>101</v>
      </c>
      <c r="D6" s="135">
        <v>2</v>
      </c>
      <c r="E6" s="135">
        <v>7</v>
      </c>
      <c r="F6" s="135">
        <v>1</v>
      </c>
      <c r="G6" s="135">
        <v>1</v>
      </c>
      <c r="H6" s="135">
        <v>2</v>
      </c>
      <c r="I6" s="135">
        <v>3</v>
      </c>
      <c r="J6" s="135">
        <v>1</v>
      </c>
      <c r="K6" s="135">
        <v>2</v>
      </c>
      <c r="L6" s="135">
        <v>3</v>
      </c>
    </row>
    <row r="7" spans="1:12">
      <c r="A7" s="135">
        <v>3</v>
      </c>
      <c r="B7" s="135">
        <v>1</v>
      </c>
      <c r="C7" s="135">
        <v>101</v>
      </c>
      <c r="D7" s="135">
        <v>3</v>
      </c>
      <c r="E7" s="135">
        <v>7</v>
      </c>
      <c r="F7" s="135">
        <v>1</v>
      </c>
      <c r="G7" s="135">
        <v>1</v>
      </c>
      <c r="H7" s="135">
        <v>2</v>
      </c>
      <c r="I7" s="135">
        <v>3</v>
      </c>
      <c r="J7" s="135">
        <v>1</v>
      </c>
      <c r="K7" s="135">
        <v>2</v>
      </c>
      <c r="L7" s="135">
        <v>3</v>
      </c>
    </row>
    <row r="8" spans="1:12">
      <c r="A8" s="135">
        <v>4</v>
      </c>
      <c r="B8" s="135">
        <v>1</v>
      </c>
      <c r="C8" s="135">
        <v>101</v>
      </c>
      <c r="D8" s="135">
        <v>4</v>
      </c>
      <c r="E8" s="135">
        <v>7</v>
      </c>
      <c r="F8" s="135">
        <v>1</v>
      </c>
      <c r="G8" s="135">
        <v>1</v>
      </c>
      <c r="H8" s="135">
        <v>2</v>
      </c>
      <c r="I8" s="135">
        <v>3</v>
      </c>
      <c r="J8" s="135">
        <v>1</v>
      </c>
      <c r="K8" s="135">
        <v>2</v>
      </c>
      <c r="L8" s="135">
        <v>3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104"/>
  <sheetViews>
    <sheetView zoomScale="85" zoomScaleNormal="85" workbookViewId="0">
      <pane ySplit="3" topLeftCell="A4" activePane="bottomLeft" state="frozen"/>
      <selection activeCell="AC80" sqref="AC79:AC80"/>
      <selection pane="bottomLeft" activeCell="C4" sqref="C4"/>
    </sheetView>
  </sheetViews>
  <sheetFormatPr defaultRowHeight="13.5"/>
  <cols>
    <col min="1" max="1" width="6.375" style="135" bestFit="1" customWidth="1"/>
    <col min="2" max="2" width="9.125" style="135" bestFit="1" customWidth="1"/>
    <col min="3" max="3" width="9.125" style="135" customWidth="1"/>
    <col min="4" max="4" width="8.25" style="135" bestFit="1" customWidth="1"/>
    <col min="5" max="5" width="6.625" style="135" bestFit="1" customWidth="1"/>
    <col min="6" max="6" width="8.25" style="135" bestFit="1" customWidth="1"/>
    <col min="7" max="7" width="6.625" style="135" bestFit="1" customWidth="1"/>
    <col min="8" max="8" width="8.25" style="135" bestFit="1" customWidth="1"/>
    <col min="9" max="9" width="6.625" style="135" bestFit="1" customWidth="1"/>
    <col min="10" max="10" width="8.25" style="135" bestFit="1" customWidth="1"/>
    <col min="11" max="11" width="6.625" style="135" bestFit="1" customWidth="1"/>
    <col min="12" max="12" width="8.25" style="135" bestFit="1" customWidth="1"/>
    <col min="13" max="13" width="6.625" style="135" bestFit="1" customWidth="1"/>
    <col min="14" max="16384" width="9" style="135"/>
  </cols>
  <sheetData>
    <row r="1" spans="1:13" s="134" customFormat="1">
      <c r="A1" s="134" t="s">
        <v>790</v>
      </c>
      <c r="B1" s="134" t="s">
        <v>792</v>
      </c>
      <c r="C1" s="134" t="s">
        <v>793</v>
      </c>
      <c r="D1" s="134" t="s">
        <v>81</v>
      </c>
      <c r="E1" s="134" t="s">
        <v>82</v>
      </c>
      <c r="F1" s="134" t="s">
        <v>83</v>
      </c>
      <c r="G1" s="134" t="s">
        <v>84</v>
      </c>
      <c r="H1" s="134" t="s">
        <v>85</v>
      </c>
      <c r="I1" s="134" t="s">
        <v>86</v>
      </c>
      <c r="J1" s="134" t="s">
        <v>87</v>
      </c>
      <c r="K1" s="134" t="s">
        <v>88</v>
      </c>
      <c r="L1" s="134" t="s">
        <v>89</v>
      </c>
      <c r="M1" s="134" t="s">
        <v>90</v>
      </c>
    </row>
    <row r="2" spans="1:13" s="134" customFormat="1" ht="15.75" customHeight="1">
      <c r="A2" s="134" t="s">
        <v>668</v>
      </c>
      <c r="B2" s="134" t="s">
        <v>771</v>
      </c>
      <c r="C2" s="134" t="s">
        <v>772</v>
      </c>
      <c r="D2" s="134" t="s">
        <v>812</v>
      </c>
      <c r="E2" s="134" t="s">
        <v>813</v>
      </c>
      <c r="F2" s="134" t="s">
        <v>814</v>
      </c>
      <c r="G2" s="134" t="s">
        <v>815</v>
      </c>
      <c r="H2" s="134" t="s">
        <v>816</v>
      </c>
      <c r="I2" s="134" t="s">
        <v>817</v>
      </c>
      <c r="J2" s="134" t="s">
        <v>818</v>
      </c>
      <c r="K2" s="134" t="s">
        <v>819</v>
      </c>
      <c r="L2" s="134" t="s">
        <v>820</v>
      </c>
      <c r="M2" s="134" t="s">
        <v>821</v>
      </c>
    </row>
    <row r="3" spans="1:13" s="134" customFormat="1">
      <c r="A3" s="134" t="s">
        <v>670</v>
      </c>
      <c r="B3" s="134" t="s">
        <v>670</v>
      </c>
      <c r="C3" s="134" t="s">
        <v>1331</v>
      </c>
      <c r="D3" s="134" t="s">
        <v>670</v>
      </c>
      <c r="E3" s="134" t="s">
        <v>670</v>
      </c>
      <c r="F3" s="134" t="s">
        <v>670</v>
      </c>
      <c r="G3" s="134" t="s">
        <v>670</v>
      </c>
      <c r="H3" s="134" t="s">
        <v>670</v>
      </c>
      <c r="I3" s="134" t="s">
        <v>670</v>
      </c>
      <c r="J3" s="134" t="s">
        <v>670</v>
      </c>
      <c r="K3" s="134" t="s">
        <v>670</v>
      </c>
      <c r="L3" s="134" t="s">
        <v>14</v>
      </c>
      <c r="M3" s="134" t="s">
        <v>670</v>
      </c>
    </row>
    <row r="4" spans="1:13" s="118" customFormat="1">
      <c r="A4" s="118" t="s">
        <v>822</v>
      </c>
    </row>
    <row r="5" spans="1:13">
      <c r="A5" s="135">
        <v>1</v>
      </c>
      <c r="B5" s="136">
        <v>1</v>
      </c>
      <c r="C5" s="136">
        <v>1</v>
      </c>
      <c r="D5" s="136">
        <v>0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</row>
    <row r="6" spans="1:13">
      <c r="B6" s="136"/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</row>
    <row r="7" spans="1:13">
      <c r="B7" s="136"/>
      <c r="C7" s="136"/>
      <c r="D7" s="136"/>
      <c r="E7" s="136"/>
      <c r="F7" s="136"/>
      <c r="G7" s="136"/>
      <c r="H7" s="136"/>
      <c r="I7" s="136"/>
      <c r="J7" s="136"/>
      <c r="K7" s="136"/>
      <c r="L7" s="136"/>
      <c r="M7" s="136"/>
    </row>
    <row r="8" spans="1:13">
      <c r="B8" s="136"/>
      <c r="C8" s="136"/>
      <c r="F8" s="9"/>
    </row>
    <row r="9" spans="1:13">
      <c r="B9" s="136"/>
      <c r="C9" s="136"/>
      <c r="F9" s="9"/>
    </row>
    <row r="10" spans="1:13">
      <c r="B10" s="136"/>
      <c r="C10" s="136"/>
      <c r="F10" s="9"/>
    </row>
    <row r="11" spans="1:13">
      <c r="F11" s="9"/>
    </row>
    <row r="12" spans="1:13">
      <c r="F12" s="9"/>
    </row>
    <row r="13" spans="1:13">
      <c r="F13" s="9"/>
    </row>
    <row r="14" spans="1:13">
      <c r="F14" s="9"/>
    </row>
    <row r="15" spans="1:13">
      <c r="F15" s="9"/>
    </row>
    <row r="16" spans="1:13">
      <c r="F16" s="9"/>
    </row>
    <row r="17" spans="6:6">
      <c r="F17" s="9"/>
    </row>
    <row r="18" spans="6:6">
      <c r="F18" s="9"/>
    </row>
    <row r="19" spans="6:6">
      <c r="F19" s="9"/>
    </row>
    <row r="20" spans="6:6">
      <c r="F20" s="9"/>
    </row>
    <row r="21" spans="6:6">
      <c r="F21" s="9"/>
    </row>
    <row r="22" spans="6:6">
      <c r="F22" s="9"/>
    </row>
    <row r="23" spans="6:6">
      <c r="F23" s="9"/>
    </row>
    <row r="24" spans="6:6">
      <c r="F24" s="9"/>
    </row>
    <row r="25" spans="6:6">
      <c r="F25" s="9"/>
    </row>
    <row r="26" spans="6:6">
      <c r="F26" s="9"/>
    </row>
    <row r="27" spans="6:6">
      <c r="F27" s="9"/>
    </row>
    <row r="28" spans="6:6">
      <c r="F28" s="9"/>
    </row>
    <row r="29" spans="6:6">
      <c r="F29" s="9"/>
    </row>
    <row r="30" spans="6:6">
      <c r="F30" s="9"/>
    </row>
    <row r="31" spans="6:6">
      <c r="F31" s="9"/>
    </row>
    <row r="32" spans="6:6">
      <c r="F32" s="9"/>
    </row>
    <row r="33" spans="6:6">
      <c r="F33" s="9"/>
    </row>
    <row r="34" spans="6:6">
      <c r="F34" s="9"/>
    </row>
    <row r="35" spans="6:6">
      <c r="F35" s="9"/>
    </row>
    <row r="36" spans="6:6">
      <c r="F36" s="9"/>
    </row>
    <row r="37" spans="6:6">
      <c r="F37" s="9"/>
    </row>
    <row r="38" spans="6:6">
      <c r="F38" s="9"/>
    </row>
    <row r="39" spans="6:6">
      <c r="F39" s="9"/>
    </row>
    <row r="40" spans="6:6">
      <c r="F40" s="9"/>
    </row>
    <row r="41" spans="6:6">
      <c r="F41" s="9"/>
    </row>
    <row r="42" spans="6:6">
      <c r="F42" s="9"/>
    </row>
    <row r="43" spans="6:6">
      <c r="F43" s="9"/>
    </row>
    <row r="44" spans="6:6">
      <c r="F44" s="9"/>
    </row>
    <row r="45" spans="6:6">
      <c r="F45" s="9"/>
    </row>
    <row r="46" spans="6:6">
      <c r="F46" s="9"/>
    </row>
    <row r="47" spans="6:6">
      <c r="F47" s="9"/>
    </row>
    <row r="48" spans="6:6">
      <c r="F48" s="9"/>
    </row>
    <row r="49" spans="6:6">
      <c r="F49" s="9"/>
    </row>
    <row r="50" spans="6:6">
      <c r="F50" s="9"/>
    </row>
    <row r="51" spans="6:6">
      <c r="F51" s="9"/>
    </row>
    <row r="52" spans="6:6">
      <c r="F52" s="9"/>
    </row>
    <row r="53" spans="6:6">
      <c r="F53" s="9"/>
    </row>
    <row r="54" spans="6:6">
      <c r="F54" s="9"/>
    </row>
    <row r="55" spans="6:6">
      <c r="F55" s="9"/>
    </row>
    <row r="56" spans="6:6">
      <c r="F56" s="9"/>
    </row>
    <row r="57" spans="6:6">
      <c r="F57" s="9"/>
    </row>
    <row r="58" spans="6:6">
      <c r="F58" s="9"/>
    </row>
    <row r="59" spans="6:6">
      <c r="F59" s="9"/>
    </row>
    <row r="60" spans="6:6">
      <c r="F60" s="9"/>
    </row>
    <row r="61" spans="6:6">
      <c r="F61" s="9"/>
    </row>
    <row r="62" spans="6:6">
      <c r="F62" s="9"/>
    </row>
    <row r="63" spans="6:6">
      <c r="F63" s="9"/>
    </row>
    <row r="64" spans="6:6">
      <c r="F64" s="9"/>
    </row>
    <row r="65" spans="6:6">
      <c r="F65" s="9"/>
    </row>
    <row r="66" spans="6:6">
      <c r="F66" s="9"/>
    </row>
    <row r="67" spans="6:6">
      <c r="F67" s="9"/>
    </row>
    <row r="68" spans="6:6">
      <c r="F68" s="9"/>
    </row>
    <row r="69" spans="6:6">
      <c r="F69" s="9"/>
    </row>
    <row r="70" spans="6:6">
      <c r="F70" s="9"/>
    </row>
    <row r="71" spans="6:6">
      <c r="F71" s="9"/>
    </row>
    <row r="72" spans="6:6">
      <c r="F72" s="9"/>
    </row>
    <row r="73" spans="6:6">
      <c r="F73" s="9"/>
    </row>
    <row r="74" spans="6:6">
      <c r="F74" s="9"/>
    </row>
    <row r="75" spans="6:6">
      <c r="F75" s="9"/>
    </row>
    <row r="76" spans="6:6">
      <c r="F76" s="9"/>
    </row>
    <row r="77" spans="6:6">
      <c r="F77" s="9"/>
    </row>
    <row r="78" spans="6:6">
      <c r="F78" s="9"/>
    </row>
    <row r="79" spans="6:6">
      <c r="F79" s="9"/>
    </row>
    <row r="80" spans="6:6">
      <c r="F80" s="9"/>
    </row>
    <row r="81" spans="6:6">
      <c r="F81" s="9"/>
    </row>
    <row r="82" spans="6:6">
      <c r="F82" s="9"/>
    </row>
    <row r="83" spans="6:6">
      <c r="F83" s="9"/>
    </row>
    <row r="84" spans="6:6">
      <c r="F84" s="9"/>
    </row>
    <row r="85" spans="6:6">
      <c r="F85" s="9"/>
    </row>
    <row r="86" spans="6:6">
      <c r="F86" s="9"/>
    </row>
    <row r="87" spans="6:6">
      <c r="F87" s="9"/>
    </row>
    <row r="88" spans="6:6">
      <c r="F88" s="9"/>
    </row>
    <row r="89" spans="6:6">
      <c r="F89" s="9"/>
    </row>
    <row r="90" spans="6:6">
      <c r="F90" s="9"/>
    </row>
    <row r="91" spans="6:6">
      <c r="F91" s="9"/>
    </row>
    <row r="92" spans="6:6">
      <c r="F92" s="9"/>
    </row>
    <row r="93" spans="6:6">
      <c r="F93" s="9"/>
    </row>
    <row r="94" spans="6:6">
      <c r="F94" s="9"/>
    </row>
    <row r="95" spans="6:6">
      <c r="F95" s="9"/>
    </row>
    <row r="96" spans="6:6">
      <c r="F96" s="9"/>
    </row>
    <row r="97" spans="5:7">
      <c r="F97" s="9"/>
    </row>
    <row r="98" spans="5:7">
      <c r="F98" s="9"/>
    </row>
    <row r="99" spans="5:7">
      <c r="F99" s="9"/>
    </row>
    <row r="100" spans="5:7">
      <c r="F100" s="9"/>
    </row>
    <row r="103" spans="5:7">
      <c r="E103" s="136"/>
      <c r="F103" s="136"/>
      <c r="G103" s="136"/>
    </row>
    <row r="104" spans="5:7">
      <c r="E104" s="136"/>
      <c r="F104" s="136"/>
      <c r="G104" s="136"/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P6"/>
  <sheetViews>
    <sheetView zoomScale="85" zoomScaleNormal="85" workbookViewId="0">
      <selection activeCell="D4" sqref="D4"/>
    </sheetView>
  </sheetViews>
  <sheetFormatPr defaultRowHeight="13.5"/>
  <cols>
    <col min="1" max="1" width="7.125" style="77" customWidth="1"/>
    <col min="2" max="2" width="11.625" style="77" bestFit="1" customWidth="1"/>
    <col min="3" max="3" width="20.625" style="79" bestFit="1" customWidth="1"/>
    <col min="4" max="4" width="10.625" style="77" bestFit="1" customWidth="1"/>
    <col min="5" max="5" width="10.5" style="77" customWidth="1"/>
    <col min="6" max="6" width="10.625" style="79" customWidth="1"/>
    <col min="7" max="7" width="11.25" style="77" customWidth="1"/>
    <col min="8" max="8" width="7.375" style="79" customWidth="1"/>
    <col min="9" max="9" width="7.875" style="77" customWidth="1"/>
    <col min="10" max="10" width="20.375" style="79" customWidth="1"/>
    <col min="11" max="11" width="19.5" style="79" customWidth="1"/>
    <col min="12" max="12" width="14.25" style="77" bestFit="1" customWidth="1"/>
    <col min="13" max="13" width="14" style="77" bestFit="1" customWidth="1"/>
    <col min="14" max="14" width="13.875" style="79" customWidth="1"/>
    <col min="15" max="15" width="15.875" style="77" bestFit="1" customWidth="1"/>
    <col min="16" max="16" width="10.625" style="79" customWidth="1"/>
    <col min="17" max="16384" width="9" style="77"/>
  </cols>
  <sheetData>
    <row r="1" spans="1:16">
      <c r="A1" s="41" t="s">
        <v>93</v>
      </c>
      <c r="B1" s="41" t="s">
        <v>95</v>
      </c>
      <c r="C1" s="76" t="s">
        <v>823</v>
      </c>
      <c r="D1" s="41" t="s">
        <v>96</v>
      </c>
      <c r="E1" s="41" t="s">
        <v>824</v>
      </c>
      <c r="F1" s="76" t="s">
        <v>825</v>
      </c>
      <c r="G1" s="41" t="s">
        <v>826</v>
      </c>
      <c r="H1" s="76" t="s">
        <v>827</v>
      </c>
      <c r="I1" s="41" t="s">
        <v>828</v>
      </c>
      <c r="J1" s="76" t="s">
        <v>829</v>
      </c>
      <c r="K1" s="76" t="s">
        <v>830</v>
      </c>
      <c r="L1" s="41" t="s">
        <v>831</v>
      </c>
      <c r="M1" s="41" t="s">
        <v>826</v>
      </c>
      <c r="N1" s="76" t="s">
        <v>827</v>
      </c>
      <c r="O1" s="41" t="s">
        <v>832</v>
      </c>
      <c r="P1" s="76" t="s">
        <v>825</v>
      </c>
    </row>
    <row r="2" spans="1:16">
      <c r="A2" s="41" t="s">
        <v>94</v>
      </c>
      <c r="B2" s="41" t="s">
        <v>97</v>
      </c>
      <c r="C2" s="76"/>
      <c r="D2" s="41" t="s">
        <v>833</v>
      </c>
      <c r="E2" s="41" t="s">
        <v>834</v>
      </c>
      <c r="F2" s="76"/>
      <c r="G2" s="41" t="s">
        <v>98</v>
      </c>
      <c r="H2" s="76"/>
      <c r="I2" s="41" t="s">
        <v>835</v>
      </c>
      <c r="J2" s="76"/>
      <c r="K2" s="76"/>
      <c r="L2" s="41" t="s">
        <v>836</v>
      </c>
      <c r="M2" s="41" t="s">
        <v>837</v>
      </c>
      <c r="N2" s="76"/>
      <c r="O2" s="41" t="s">
        <v>838</v>
      </c>
      <c r="P2" s="76"/>
    </row>
    <row r="3" spans="1:16">
      <c r="A3" s="41" t="s">
        <v>14</v>
      </c>
      <c r="B3" s="41" t="s">
        <v>14</v>
      </c>
      <c r="C3" s="76"/>
      <c r="D3" s="41" t="s">
        <v>1332</v>
      </c>
      <c r="E3" s="41" t="s">
        <v>670</v>
      </c>
      <c r="F3" s="76"/>
      <c r="G3" s="41" t="s">
        <v>99</v>
      </c>
      <c r="H3" s="76"/>
      <c r="I3" s="41" t="s">
        <v>670</v>
      </c>
      <c r="J3" s="76"/>
      <c r="K3" s="76"/>
      <c r="L3" s="41" t="s">
        <v>670</v>
      </c>
      <c r="M3" s="41" t="s">
        <v>99</v>
      </c>
      <c r="N3" s="76"/>
      <c r="O3" s="41" t="s">
        <v>670</v>
      </c>
      <c r="P3" s="76"/>
    </row>
    <row r="4" spans="1:16">
      <c r="A4" s="42" t="s">
        <v>100</v>
      </c>
      <c r="B4" s="42"/>
      <c r="C4" s="78"/>
      <c r="D4" s="42"/>
      <c r="E4" s="42"/>
      <c r="F4" s="78"/>
      <c r="G4" s="42"/>
      <c r="H4" s="78"/>
      <c r="I4" s="42"/>
      <c r="J4" s="78"/>
      <c r="K4" s="78"/>
      <c r="L4" s="42"/>
      <c r="M4" s="42"/>
      <c r="N4" s="78"/>
      <c r="O4" s="42"/>
      <c r="P4" s="78"/>
    </row>
    <row r="5" spans="1:16">
      <c r="A5" s="42" t="s">
        <v>101</v>
      </c>
      <c r="B5" s="42"/>
      <c r="C5" s="78"/>
      <c r="D5" s="42"/>
      <c r="E5" s="42"/>
      <c r="F5" s="78"/>
      <c r="G5" s="42"/>
      <c r="H5" s="78"/>
      <c r="I5" s="42"/>
      <c r="J5" s="78"/>
      <c r="K5" s="78"/>
      <c r="L5" s="42"/>
      <c r="M5" s="42"/>
      <c r="N5" s="78"/>
      <c r="O5" s="42"/>
      <c r="P5" s="78"/>
    </row>
    <row r="6" spans="1:16">
      <c r="A6" s="42" t="s">
        <v>102</v>
      </c>
      <c r="B6" s="42"/>
      <c r="C6" s="78"/>
      <c r="D6" s="42"/>
      <c r="E6" s="42"/>
      <c r="F6" s="78"/>
      <c r="G6" s="42"/>
      <c r="H6" s="78"/>
      <c r="I6" s="42"/>
      <c r="J6" s="78"/>
      <c r="K6" s="78"/>
      <c r="L6" s="42"/>
      <c r="M6" s="42"/>
      <c r="N6" s="78"/>
      <c r="O6" s="42"/>
      <c r="P6" s="78"/>
    </row>
  </sheetData>
  <phoneticPr fontId="10" type="noConversion"/>
  <conditionalFormatting sqref="E4:J1048576">
    <cfRule type="expression" dxfId="1" priority="2">
      <formula>$E4&gt;0</formula>
    </cfRule>
  </conditionalFormatting>
  <conditionalFormatting sqref="K4:P1048576">
    <cfRule type="expression" dxfId="0" priority="1">
      <formula>$O4&gt;0</formula>
    </cfRule>
  </conditionalFormatting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C6"/>
  <sheetViews>
    <sheetView zoomScale="85" zoomScaleNormal="85" workbookViewId="0">
      <selection activeCell="B4" sqref="B4"/>
    </sheetView>
  </sheetViews>
  <sheetFormatPr defaultColWidth="6.875" defaultRowHeight="13.5"/>
  <cols>
    <col min="1" max="1" width="6.875" style="135"/>
    <col min="2" max="2" width="17.625" style="135" bestFit="1" customWidth="1"/>
    <col min="3" max="3" width="107.375" style="135" bestFit="1" customWidth="1"/>
    <col min="4" max="16384" width="6.875" style="135"/>
  </cols>
  <sheetData>
    <row r="1" spans="1:3">
      <c r="A1" s="134" t="s">
        <v>93</v>
      </c>
      <c r="B1" s="134" t="s">
        <v>839</v>
      </c>
      <c r="C1" s="134" t="s">
        <v>104</v>
      </c>
    </row>
    <row r="2" spans="1:3">
      <c r="A2" s="134" t="s">
        <v>94</v>
      </c>
      <c r="B2" s="134" t="s">
        <v>105</v>
      </c>
      <c r="C2" s="134" t="s">
        <v>106</v>
      </c>
    </row>
    <row r="3" spans="1:3">
      <c r="A3" s="134" t="s">
        <v>14</v>
      </c>
      <c r="B3" s="134" t="s">
        <v>1244</v>
      </c>
      <c r="C3" s="134"/>
    </row>
    <row r="4" spans="1:3">
      <c r="A4" s="11" t="s">
        <v>107</v>
      </c>
      <c r="B4" s="11"/>
      <c r="C4" s="11"/>
    </row>
    <row r="5" spans="1:3">
      <c r="A5" s="129">
        <v>1</v>
      </c>
      <c r="B5" s="129" t="s">
        <v>103</v>
      </c>
      <c r="C5" s="129"/>
    </row>
    <row r="6" spans="1:3">
      <c r="A6" s="129">
        <v>2</v>
      </c>
      <c r="B6" s="129" t="s">
        <v>108</v>
      </c>
      <c r="C6" s="129" t="s">
        <v>109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>
    <tabColor rgb="FF92D050"/>
  </sheetPr>
  <dimension ref="A1:AI27"/>
  <sheetViews>
    <sheetView zoomScale="85" zoomScaleNormal="85" workbookViewId="0">
      <pane xSplit="2" ySplit="1" topLeftCell="C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J39" sqref="J39"/>
    </sheetView>
  </sheetViews>
  <sheetFormatPr defaultRowHeight="13.5"/>
  <cols>
    <col min="1" max="1" width="10.875" style="135" customWidth="1"/>
    <col min="2" max="2" width="15.875" style="133" bestFit="1" customWidth="1"/>
    <col min="3" max="3" width="8" style="135" customWidth="1"/>
    <col min="4" max="4" width="10.75" style="135" bestFit="1" customWidth="1"/>
    <col min="5" max="5" width="7.625" style="135" customWidth="1"/>
    <col min="6" max="7" width="6.375" style="135" customWidth="1"/>
    <col min="8" max="8" width="5.875" style="135" bestFit="1" customWidth="1"/>
    <col min="9" max="9" width="6.375" style="135" bestFit="1" customWidth="1"/>
    <col min="10" max="10" width="15.25" style="135" bestFit="1" customWidth="1"/>
    <col min="11" max="11" width="9.25" style="135" bestFit="1" customWidth="1"/>
    <col min="12" max="12" width="13.375" style="135" bestFit="1" customWidth="1"/>
    <col min="13" max="13" width="9.25" style="135" bestFit="1" customWidth="1"/>
    <col min="14" max="14" width="13.375" style="135" bestFit="1" customWidth="1"/>
    <col min="15" max="15" width="9.25" style="135" bestFit="1" customWidth="1"/>
    <col min="16" max="16" width="13.375" style="135" bestFit="1" customWidth="1"/>
    <col min="17" max="17" width="9.25" style="135" bestFit="1" customWidth="1"/>
    <col min="18" max="18" width="13.375" style="135" bestFit="1" customWidth="1"/>
    <col min="19" max="19" width="9.25" style="135" bestFit="1" customWidth="1"/>
    <col min="20" max="20" width="13.375" style="135" bestFit="1" customWidth="1"/>
    <col min="21" max="21" width="8.625" style="135" customWidth="1"/>
    <col min="22" max="22" width="9.125" style="135" customWidth="1"/>
    <col min="23" max="23" width="8.625" style="135" customWidth="1"/>
    <col min="24" max="24" width="8.125" style="135" bestFit="1" customWidth="1"/>
    <col min="25" max="25" width="6.5" style="135" bestFit="1" customWidth="1"/>
    <col min="26" max="26" width="8.125" style="135" bestFit="1" customWidth="1"/>
    <col min="27" max="27" width="6.5" style="135" bestFit="1" customWidth="1"/>
    <col min="28" max="28" width="8.125" style="135" bestFit="1" customWidth="1"/>
    <col min="29" max="29" width="6.5" style="135" bestFit="1" customWidth="1"/>
    <col min="30" max="30" width="8.125" style="135" bestFit="1" customWidth="1"/>
    <col min="31" max="31" width="6.5" style="135" bestFit="1" customWidth="1"/>
    <col min="32" max="32" width="8.125" style="135" bestFit="1" customWidth="1"/>
    <col min="33" max="33" width="6.5" style="135" bestFit="1" customWidth="1"/>
    <col min="34" max="34" width="24.75" style="135" customWidth="1"/>
    <col min="35" max="35" width="18" style="135" customWidth="1"/>
    <col min="36" max="16384" width="9" style="135"/>
  </cols>
  <sheetData>
    <row r="1" spans="1:35" s="190" customFormat="1" ht="27" customHeight="1">
      <c r="A1" s="190" t="s">
        <v>790</v>
      </c>
      <c r="B1" s="191" t="s">
        <v>878</v>
      </c>
      <c r="C1" s="190" t="s">
        <v>880</v>
      </c>
      <c r="D1" s="190" t="s">
        <v>1474</v>
      </c>
      <c r="E1" s="190" t="s">
        <v>881</v>
      </c>
      <c r="F1" s="190" t="s">
        <v>882</v>
      </c>
      <c r="G1" s="190" t="s">
        <v>883</v>
      </c>
      <c r="H1" s="190" t="s">
        <v>884</v>
      </c>
      <c r="I1" s="190" t="s">
        <v>885</v>
      </c>
      <c r="J1" s="190" t="s">
        <v>886</v>
      </c>
      <c r="K1" s="190" t="s">
        <v>887</v>
      </c>
      <c r="L1" s="190" t="s">
        <v>259</v>
      </c>
      <c r="M1" s="190" t="s">
        <v>888</v>
      </c>
      <c r="N1" s="190" t="s">
        <v>260</v>
      </c>
      <c r="O1" s="190" t="s">
        <v>889</v>
      </c>
      <c r="P1" s="190" t="s">
        <v>251</v>
      </c>
      <c r="Q1" s="190" t="s">
        <v>890</v>
      </c>
      <c r="R1" s="190" t="s">
        <v>253</v>
      </c>
      <c r="S1" s="190" t="s">
        <v>891</v>
      </c>
      <c r="T1" s="190" t="s">
        <v>255</v>
      </c>
      <c r="U1" s="190" t="s">
        <v>1313</v>
      </c>
      <c r="V1" s="190" t="s">
        <v>1314</v>
      </c>
      <c r="W1" s="190" t="s">
        <v>1278</v>
      </c>
      <c r="X1" s="190" t="s">
        <v>892</v>
      </c>
      <c r="Y1" s="190" t="s">
        <v>893</v>
      </c>
      <c r="Z1" s="190" t="s">
        <v>894</v>
      </c>
      <c r="AA1" s="190" t="s">
        <v>895</v>
      </c>
      <c r="AB1" s="190" t="s">
        <v>896</v>
      </c>
      <c r="AC1" s="190" t="s">
        <v>847</v>
      </c>
      <c r="AD1" s="190" t="s">
        <v>897</v>
      </c>
      <c r="AE1" s="190" t="s">
        <v>849</v>
      </c>
      <c r="AF1" s="190" t="s">
        <v>898</v>
      </c>
      <c r="AG1" s="190" t="s">
        <v>851</v>
      </c>
      <c r="AH1" s="190" t="s">
        <v>879</v>
      </c>
      <c r="AI1" s="190" t="s">
        <v>1312</v>
      </c>
    </row>
    <row r="2" spans="1:35" s="190" customFormat="1" ht="33" customHeight="1">
      <c r="A2" s="190" t="s">
        <v>668</v>
      </c>
      <c r="B2" s="191"/>
      <c r="C2" s="190" t="s">
        <v>899</v>
      </c>
      <c r="D2" s="190" t="s">
        <v>1475</v>
      </c>
      <c r="E2" s="190" t="s">
        <v>900</v>
      </c>
      <c r="F2" s="190" t="s">
        <v>110</v>
      </c>
      <c r="G2" s="190" t="s">
        <v>76</v>
      </c>
      <c r="H2" s="190" t="s">
        <v>884</v>
      </c>
      <c r="I2" s="190" t="s">
        <v>111</v>
      </c>
      <c r="J2" s="190" t="s">
        <v>901</v>
      </c>
      <c r="K2" s="190" t="s">
        <v>902</v>
      </c>
      <c r="L2" s="190" t="s">
        <v>257</v>
      </c>
      <c r="M2" s="190" t="s">
        <v>903</v>
      </c>
      <c r="N2" s="190" t="s">
        <v>258</v>
      </c>
      <c r="O2" s="190" t="s">
        <v>904</v>
      </c>
      <c r="P2" s="190" t="s">
        <v>252</v>
      </c>
      <c r="Q2" s="190" t="s">
        <v>905</v>
      </c>
      <c r="R2" s="190" t="s">
        <v>254</v>
      </c>
      <c r="S2" s="190" t="s">
        <v>906</v>
      </c>
      <c r="T2" s="190" t="s">
        <v>256</v>
      </c>
      <c r="U2" s="190" t="s">
        <v>1315</v>
      </c>
      <c r="V2" s="190" t="s">
        <v>1316</v>
      </c>
      <c r="W2" s="190" t="s">
        <v>1279</v>
      </c>
      <c r="X2" s="190" t="s">
        <v>812</v>
      </c>
      <c r="Y2" s="190" t="s">
        <v>813</v>
      </c>
      <c r="Z2" s="190" t="s">
        <v>130</v>
      </c>
      <c r="AA2" s="190" t="s">
        <v>121</v>
      </c>
      <c r="AB2" s="190" t="s">
        <v>131</v>
      </c>
      <c r="AC2" s="190" t="s">
        <v>122</v>
      </c>
      <c r="AD2" s="190" t="s">
        <v>132</v>
      </c>
      <c r="AE2" s="190" t="s">
        <v>123</v>
      </c>
      <c r="AF2" s="190" t="s">
        <v>133</v>
      </c>
      <c r="AG2" s="190" t="s">
        <v>124</v>
      </c>
      <c r="AH2" s="190" t="s">
        <v>1319</v>
      </c>
      <c r="AI2" s="190" t="s">
        <v>1320</v>
      </c>
    </row>
    <row r="3" spans="1:35" s="134" customFormat="1">
      <c r="A3" s="134" t="s">
        <v>14</v>
      </c>
      <c r="B3" s="126"/>
      <c r="C3" s="134" t="s">
        <v>14</v>
      </c>
      <c r="D3" s="190" t="s">
        <v>1475</v>
      </c>
      <c r="E3" s="134" t="s">
        <v>14</v>
      </c>
      <c r="F3" s="134" t="s">
        <v>1333</v>
      </c>
      <c r="G3" s="134" t="s">
        <v>1333</v>
      </c>
      <c r="H3" s="134" t="s">
        <v>14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14</v>
      </c>
      <c r="N3" s="134" t="s">
        <v>14</v>
      </c>
      <c r="O3" s="134" t="s">
        <v>14</v>
      </c>
      <c r="P3" s="134" t="s">
        <v>14</v>
      </c>
      <c r="Q3" s="134" t="s">
        <v>14</v>
      </c>
      <c r="R3" s="134" t="s">
        <v>14</v>
      </c>
      <c r="S3" s="134" t="s">
        <v>14</v>
      </c>
      <c r="T3" s="134" t="s">
        <v>14</v>
      </c>
      <c r="U3" s="134" t="s">
        <v>1277</v>
      </c>
      <c r="V3" s="134" t="s">
        <v>1277</v>
      </c>
      <c r="W3" s="134" t="s">
        <v>1277</v>
      </c>
      <c r="X3" s="134" t="s">
        <v>14</v>
      </c>
      <c r="Y3" s="134" t="s">
        <v>14</v>
      </c>
      <c r="Z3" s="134" t="s">
        <v>14</v>
      </c>
      <c r="AA3" s="134" t="s">
        <v>14</v>
      </c>
      <c r="AB3" s="134" t="s">
        <v>14</v>
      </c>
      <c r="AC3" s="134" t="s">
        <v>14</v>
      </c>
      <c r="AD3" s="134" t="s">
        <v>14</v>
      </c>
      <c r="AE3" s="134" t="s">
        <v>14</v>
      </c>
      <c r="AF3" s="134" t="s">
        <v>14</v>
      </c>
      <c r="AG3" s="134" t="s">
        <v>14</v>
      </c>
      <c r="AH3" s="134" t="s">
        <v>1245</v>
      </c>
      <c r="AI3" s="134" t="s">
        <v>1245</v>
      </c>
    </row>
    <row r="4" spans="1:35">
      <c r="A4" s="135">
        <v>1500001</v>
      </c>
      <c r="B4" s="133" t="s">
        <v>1321</v>
      </c>
      <c r="C4" s="136">
        <v>1002</v>
      </c>
      <c r="D4" s="136" t="s">
        <v>1476</v>
      </c>
      <c r="E4" s="135">
        <v>6300001</v>
      </c>
      <c r="F4" s="135">
        <v>1</v>
      </c>
      <c r="G4" s="135">
        <v>1</v>
      </c>
      <c r="H4" s="135">
        <v>41</v>
      </c>
      <c r="I4" s="135">
        <v>8</v>
      </c>
      <c r="J4" s="135">
        <v>2</v>
      </c>
      <c r="K4" s="149">
        <v>200001</v>
      </c>
      <c r="L4" s="135">
        <v>10000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  <c r="U4" s="135">
        <v>1</v>
      </c>
      <c r="V4" s="135">
        <v>10</v>
      </c>
      <c r="W4" s="135">
        <v>70</v>
      </c>
      <c r="X4" s="135">
        <v>1</v>
      </c>
      <c r="Y4" s="135">
        <v>10000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  <c r="AG4" s="135">
        <v>0</v>
      </c>
      <c r="AH4" s="135" t="s">
        <v>325</v>
      </c>
      <c r="AI4" s="135" t="s">
        <v>1325</v>
      </c>
    </row>
    <row r="5" spans="1:35">
      <c r="A5" s="135">
        <v>1500002</v>
      </c>
      <c r="B5" s="133" t="s">
        <v>1322</v>
      </c>
      <c r="C5" s="136">
        <v>1002</v>
      </c>
      <c r="D5" s="136" t="s">
        <v>1476</v>
      </c>
      <c r="E5" s="135">
        <v>6300001</v>
      </c>
      <c r="F5" s="135">
        <v>1</v>
      </c>
      <c r="G5" s="135">
        <v>2</v>
      </c>
      <c r="H5" s="135">
        <v>80</v>
      </c>
      <c r="I5" s="135">
        <v>12</v>
      </c>
      <c r="J5" s="135">
        <v>3</v>
      </c>
      <c r="K5" s="149">
        <v>200001</v>
      </c>
      <c r="L5" s="135">
        <v>10000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2</v>
      </c>
      <c r="V5" s="135">
        <v>10</v>
      </c>
      <c r="W5" s="135">
        <v>70</v>
      </c>
      <c r="X5" s="135">
        <v>2</v>
      </c>
      <c r="Y5" s="135">
        <v>10000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>
        <v>0</v>
      </c>
      <c r="AH5" s="135" t="s">
        <v>325</v>
      </c>
      <c r="AI5" s="135" t="s">
        <v>1325</v>
      </c>
    </row>
    <row r="6" spans="1:35">
      <c r="A6" s="135">
        <v>1500003</v>
      </c>
      <c r="B6" s="133" t="s">
        <v>398</v>
      </c>
      <c r="C6" s="136">
        <v>1002</v>
      </c>
      <c r="D6" s="136" t="s">
        <v>1476</v>
      </c>
      <c r="E6" s="135">
        <v>6300001</v>
      </c>
      <c r="F6" s="135">
        <v>2</v>
      </c>
      <c r="G6" s="135">
        <v>4</v>
      </c>
      <c r="H6" s="135">
        <v>530</v>
      </c>
      <c r="I6" s="135">
        <v>24</v>
      </c>
      <c r="J6" s="135">
        <v>6</v>
      </c>
      <c r="K6" s="149">
        <v>200001</v>
      </c>
      <c r="L6" s="135">
        <v>10000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3</v>
      </c>
      <c r="V6" s="135">
        <v>10</v>
      </c>
      <c r="W6" s="135">
        <v>70</v>
      </c>
      <c r="X6" s="135">
        <v>3</v>
      </c>
      <c r="Y6" s="135">
        <v>10000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>
        <v>0</v>
      </c>
      <c r="AH6" s="135" t="s">
        <v>325</v>
      </c>
      <c r="AI6" s="135" t="s">
        <v>1325</v>
      </c>
    </row>
    <row r="7" spans="1:35">
      <c r="A7" s="132">
        <v>1500004</v>
      </c>
      <c r="B7" s="125" t="s">
        <v>261</v>
      </c>
      <c r="C7" s="132">
        <v>1005</v>
      </c>
      <c r="D7" s="132" t="s">
        <v>1477</v>
      </c>
      <c r="E7" s="132">
        <v>6300002</v>
      </c>
      <c r="F7" s="132">
        <v>1</v>
      </c>
      <c r="G7" s="132">
        <v>1</v>
      </c>
      <c r="H7" s="132">
        <v>41</v>
      </c>
      <c r="I7" s="132">
        <v>8</v>
      </c>
      <c r="J7" s="132">
        <v>2</v>
      </c>
      <c r="K7" s="151">
        <v>200001</v>
      </c>
      <c r="L7" s="132">
        <v>10000</v>
      </c>
      <c r="M7" s="132">
        <v>0</v>
      </c>
      <c r="N7" s="132">
        <v>0</v>
      </c>
      <c r="O7" s="132">
        <v>0</v>
      </c>
      <c r="P7" s="132">
        <v>0</v>
      </c>
      <c r="Q7" s="132">
        <v>0</v>
      </c>
      <c r="R7" s="132">
        <v>0</v>
      </c>
      <c r="S7" s="132">
        <v>0</v>
      </c>
      <c r="T7" s="132">
        <v>0</v>
      </c>
      <c r="U7" s="132">
        <v>4</v>
      </c>
      <c r="V7" s="132">
        <v>10</v>
      </c>
      <c r="W7" s="132">
        <v>70</v>
      </c>
      <c r="X7" s="132">
        <v>0</v>
      </c>
      <c r="Y7" s="132">
        <v>10000</v>
      </c>
      <c r="Z7" s="132">
        <v>0</v>
      </c>
      <c r="AA7" s="132">
        <v>0</v>
      </c>
      <c r="AB7" s="132">
        <v>0</v>
      </c>
      <c r="AC7" s="132">
        <v>0</v>
      </c>
      <c r="AD7" s="132">
        <v>0</v>
      </c>
      <c r="AE7" s="132">
        <v>0</v>
      </c>
      <c r="AF7" s="132">
        <v>0</v>
      </c>
      <c r="AG7" s="132">
        <v>0</v>
      </c>
      <c r="AH7" s="132" t="s">
        <v>326</v>
      </c>
      <c r="AI7" s="135" t="s">
        <v>1325</v>
      </c>
    </row>
    <row r="8" spans="1:35">
      <c r="A8" s="132">
        <v>1500005</v>
      </c>
      <c r="B8" s="125" t="s">
        <v>399</v>
      </c>
      <c r="C8" s="132">
        <v>1005</v>
      </c>
      <c r="D8" s="132" t="s">
        <v>1477</v>
      </c>
      <c r="E8" s="132">
        <v>6300002</v>
      </c>
      <c r="F8" s="132">
        <v>1</v>
      </c>
      <c r="G8" s="132">
        <v>2</v>
      </c>
      <c r="H8" s="132">
        <v>80</v>
      </c>
      <c r="I8" s="132">
        <v>12</v>
      </c>
      <c r="J8" s="132">
        <v>3</v>
      </c>
      <c r="K8" s="151">
        <v>200001</v>
      </c>
      <c r="L8" s="132">
        <v>10000</v>
      </c>
      <c r="M8" s="132">
        <v>0</v>
      </c>
      <c r="N8" s="132">
        <v>0</v>
      </c>
      <c r="O8" s="132">
        <v>0</v>
      </c>
      <c r="P8" s="132">
        <v>0</v>
      </c>
      <c r="Q8" s="132">
        <v>0</v>
      </c>
      <c r="R8" s="132">
        <v>0</v>
      </c>
      <c r="S8" s="132">
        <v>0</v>
      </c>
      <c r="T8" s="132">
        <v>0</v>
      </c>
      <c r="U8" s="132">
        <v>5</v>
      </c>
      <c r="V8" s="132">
        <v>10</v>
      </c>
      <c r="W8" s="132">
        <v>70</v>
      </c>
      <c r="X8" s="132">
        <v>0</v>
      </c>
      <c r="Y8" s="132">
        <v>10000</v>
      </c>
      <c r="Z8" s="132">
        <v>0</v>
      </c>
      <c r="AA8" s="132">
        <v>0</v>
      </c>
      <c r="AB8" s="132">
        <v>0</v>
      </c>
      <c r="AC8" s="132">
        <v>0</v>
      </c>
      <c r="AD8" s="132">
        <v>0</v>
      </c>
      <c r="AE8" s="132">
        <v>0</v>
      </c>
      <c r="AF8" s="132">
        <v>0</v>
      </c>
      <c r="AG8" s="132">
        <v>0</v>
      </c>
      <c r="AH8" s="132" t="s">
        <v>326</v>
      </c>
      <c r="AI8" s="135" t="s">
        <v>1325</v>
      </c>
    </row>
    <row r="9" spans="1:35">
      <c r="A9" s="132">
        <v>1500006</v>
      </c>
      <c r="B9" s="125" t="s">
        <v>400</v>
      </c>
      <c r="C9" s="132">
        <v>1005</v>
      </c>
      <c r="D9" s="132" t="s">
        <v>1477</v>
      </c>
      <c r="E9" s="132">
        <v>6300002</v>
      </c>
      <c r="F9" s="132">
        <v>2</v>
      </c>
      <c r="G9" s="132">
        <v>4</v>
      </c>
      <c r="H9" s="132">
        <v>530</v>
      </c>
      <c r="I9" s="132">
        <v>24</v>
      </c>
      <c r="J9" s="132">
        <v>6</v>
      </c>
      <c r="K9" s="151">
        <v>200001</v>
      </c>
      <c r="L9" s="132">
        <v>10000</v>
      </c>
      <c r="M9" s="132">
        <v>0</v>
      </c>
      <c r="N9" s="132">
        <v>0</v>
      </c>
      <c r="O9" s="132">
        <v>0</v>
      </c>
      <c r="P9" s="132">
        <v>0</v>
      </c>
      <c r="Q9" s="132">
        <v>0</v>
      </c>
      <c r="R9" s="132">
        <v>0</v>
      </c>
      <c r="S9" s="132">
        <v>0</v>
      </c>
      <c r="T9" s="132">
        <v>0</v>
      </c>
      <c r="U9" s="132">
        <v>6</v>
      </c>
      <c r="V9" s="132">
        <v>10</v>
      </c>
      <c r="W9" s="132">
        <v>70</v>
      </c>
      <c r="X9" s="132">
        <v>0</v>
      </c>
      <c r="Y9" s="132">
        <v>10000</v>
      </c>
      <c r="Z9" s="132">
        <v>0</v>
      </c>
      <c r="AA9" s="132">
        <v>0</v>
      </c>
      <c r="AB9" s="132">
        <v>0</v>
      </c>
      <c r="AC9" s="132">
        <v>0</v>
      </c>
      <c r="AD9" s="132">
        <v>0</v>
      </c>
      <c r="AE9" s="132">
        <v>0</v>
      </c>
      <c r="AF9" s="132">
        <v>0</v>
      </c>
      <c r="AG9" s="132">
        <v>0</v>
      </c>
      <c r="AH9" s="132" t="s">
        <v>326</v>
      </c>
      <c r="AI9" s="135" t="s">
        <v>1325</v>
      </c>
    </row>
    <row r="10" spans="1:35">
      <c r="A10" s="132">
        <v>1500007</v>
      </c>
      <c r="B10" s="125" t="s">
        <v>401</v>
      </c>
      <c r="C10" s="132">
        <v>1005</v>
      </c>
      <c r="D10" s="132" t="s">
        <v>1477</v>
      </c>
      <c r="E10" s="132">
        <v>6300002</v>
      </c>
      <c r="F10" s="132">
        <v>3</v>
      </c>
      <c r="G10" s="132">
        <v>6</v>
      </c>
      <c r="H10" s="132">
        <v>2960</v>
      </c>
      <c r="I10" s="132">
        <v>36</v>
      </c>
      <c r="J10" s="132">
        <v>9</v>
      </c>
      <c r="K10" s="151">
        <v>200001</v>
      </c>
      <c r="L10" s="132">
        <v>10000</v>
      </c>
      <c r="M10" s="132">
        <v>0</v>
      </c>
      <c r="N10" s="132">
        <v>0</v>
      </c>
      <c r="O10" s="132">
        <v>0</v>
      </c>
      <c r="P10" s="132">
        <v>0</v>
      </c>
      <c r="Q10" s="132">
        <v>0</v>
      </c>
      <c r="R10" s="132">
        <v>0</v>
      </c>
      <c r="S10" s="132">
        <v>0</v>
      </c>
      <c r="T10" s="132">
        <v>0</v>
      </c>
      <c r="U10" s="132">
        <v>7</v>
      </c>
      <c r="V10" s="132">
        <v>10</v>
      </c>
      <c r="W10" s="132">
        <v>70</v>
      </c>
      <c r="X10" s="132">
        <v>0</v>
      </c>
      <c r="Y10" s="132">
        <v>10000</v>
      </c>
      <c r="Z10" s="132">
        <v>0</v>
      </c>
      <c r="AA10" s="132">
        <v>0</v>
      </c>
      <c r="AB10" s="132">
        <v>0</v>
      </c>
      <c r="AC10" s="132">
        <v>0</v>
      </c>
      <c r="AD10" s="132">
        <v>0</v>
      </c>
      <c r="AE10" s="132">
        <v>0</v>
      </c>
      <c r="AF10" s="132">
        <v>0</v>
      </c>
      <c r="AG10" s="132">
        <v>0</v>
      </c>
      <c r="AH10" s="132" t="s">
        <v>326</v>
      </c>
      <c r="AI10" s="135" t="s">
        <v>1325</v>
      </c>
    </row>
    <row r="11" spans="1:35">
      <c r="A11" s="135">
        <v>1500008</v>
      </c>
      <c r="B11" s="133" t="s">
        <v>402</v>
      </c>
      <c r="C11" s="136">
        <v>1001</v>
      </c>
      <c r="D11" s="136" t="s">
        <v>1478</v>
      </c>
      <c r="E11" s="135">
        <v>6300003</v>
      </c>
      <c r="F11" s="135">
        <v>1</v>
      </c>
      <c r="G11" s="135">
        <v>2</v>
      </c>
      <c r="H11" s="135">
        <v>80</v>
      </c>
      <c r="I11" s="135">
        <v>12</v>
      </c>
      <c r="J11" s="135">
        <v>3</v>
      </c>
      <c r="K11" s="149">
        <v>200001</v>
      </c>
      <c r="L11" s="135">
        <v>10000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8</v>
      </c>
      <c r="V11" s="135">
        <v>10</v>
      </c>
      <c r="W11" s="135">
        <v>70</v>
      </c>
      <c r="X11" s="135">
        <v>1</v>
      </c>
      <c r="Y11" s="135">
        <v>10000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5">
        <v>0</v>
      </c>
      <c r="AH11" s="135" t="s">
        <v>327</v>
      </c>
      <c r="AI11" s="135" t="s">
        <v>1325</v>
      </c>
    </row>
    <row r="12" spans="1:35">
      <c r="A12" s="135">
        <v>1500009</v>
      </c>
      <c r="B12" s="133" t="s">
        <v>403</v>
      </c>
      <c r="C12" s="136">
        <v>1001</v>
      </c>
      <c r="D12" s="136" t="s">
        <v>1478</v>
      </c>
      <c r="E12" s="135">
        <v>6300003</v>
      </c>
      <c r="F12" s="135">
        <v>1</v>
      </c>
      <c r="G12" s="135">
        <v>3</v>
      </c>
      <c r="H12" s="135">
        <v>118</v>
      </c>
      <c r="I12" s="135">
        <v>16</v>
      </c>
      <c r="J12" s="135">
        <v>4</v>
      </c>
      <c r="K12" s="149">
        <v>200001</v>
      </c>
      <c r="L12" s="135">
        <v>10000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  <c r="U12" s="135">
        <v>9</v>
      </c>
      <c r="V12" s="135">
        <v>10</v>
      </c>
      <c r="W12" s="135">
        <v>70</v>
      </c>
      <c r="X12" s="135">
        <v>2</v>
      </c>
      <c r="Y12" s="135">
        <v>10000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5">
        <v>0</v>
      </c>
      <c r="AH12" s="135" t="s">
        <v>327</v>
      </c>
      <c r="AI12" s="135" t="s">
        <v>1325</v>
      </c>
    </row>
    <row r="13" spans="1:35">
      <c r="A13" s="135">
        <v>1500010</v>
      </c>
      <c r="B13" s="133" t="s">
        <v>404</v>
      </c>
      <c r="C13" s="136">
        <v>1001</v>
      </c>
      <c r="D13" s="136" t="s">
        <v>1478</v>
      </c>
      <c r="E13" s="135">
        <v>6300003</v>
      </c>
      <c r="F13" s="135">
        <v>2</v>
      </c>
      <c r="G13" s="135">
        <v>5</v>
      </c>
      <c r="H13" s="135">
        <v>587</v>
      </c>
      <c r="I13" s="135">
        <v>28</v>
      </c>
      <c r="J13" s="135">
        <v>7</v>
      </c>
      <c r="K13" s="149">
        <v>200001</v>
      </c>
      <c r="L13" s="135">
        <v>10000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10</v>
      </c>
      <c r="V13" s="135">
        <v>10</v>
      </c>
      <c r="W13" s="135">
        <v>70</v>
      </c>
      <c r="X13" s="135">
        <v>3</v>
      </c>
      <c r="Y13" s="135">
        <v>10000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5">
        <v>0</v>
      </c>
      <c r="AH13" s="135" t="s">
        <v>327</v>
      </c>
      <c r="AI13" s="135" t="s">
        <v>1325</v>
      </c>
    </row>
    <row r="14" spans="1:35">
      <c r="A14" s="135">
        <v>1500011</v>
      </c>
      <c r="B14" s="133" t="s">
        <v>405</v>
      </c>
      <c r="C14" s="136">
        <v>1001</v>
      </c>
      <c r="D14" s="136" t="s">
        <v>1478</v>
      </c>
      <c r="E14" s="135">
        <v>6300003</v>
      </c>
      <c r="F14" s="135">
        <v>3</v>
      </c>
      <c r="G14" s="135">
        <v>8</v>
      </c>
      <c r="H14" s="135">
        <v>3113</v>
      </c>
      <c r="I14" s="135">
        <v>44</v>
      </c>
      <c r="J14" s="135">
        <v>11</v>
      </c>
      <c r="K14" s="149">
        <v>200001</v>
      </c>
      <c r="L14" s="135">
        <v>10000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  <c r="U14" s="135">
        <v>11</v>
      </c>
      <c r="V14" s="135">
        <v>10</v>
      </c>
      <c r="W14" s="135">
        <v>70</v>
      </c>
      <c r="X14" s="135">
        <v>4</v>
      </c>
      <c r="Y14" s="135">
        <v>10000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5">
        <v>0</v>
      </c>
      <c r="AH14" s="135" t="s">
        <v>327</v>
      </c>
      <c r="AI14" s="135" t="s">
        <v>1325</v>
      </c>
    </row>
    <row r="15" spans="1:35">
      <c r="A15" s="135">
        <v>1500012</v>
      </c>
      <c r="B15" s="133" t="s">
        <v>406</v>
      </c>
      <c r="C15" s="136">
        <v>1001</v>
      </c>
      <c r="D15" s="136" t="s">
        <v>1478</v>
      </c>
      <c r="E15" s="135">
        <v>6300003</v>
      </c>
      <c r="F15" s="135">
        <v>1</v>
      </c>
      <c r="G15" s="135">
        <v>3</v>
      </c>
      <c r="H15" s="135">
        <v>118</v>
      </c>
      <c r="I15" s="135">
        <v>16</v>
      </c>
      <c r="J15" s="135">
        <v>4</v>
      </c>
      <c r="K15" s="149">
        <v>200001</v>
      </c>
      <c r="L15" s="135">
        <v>10000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5">
        <v>0</v>
      </c>
      <c r="S15" s="135">
        <v>0</v>
      </c>
      <c r="T15" s="135">
        <v>0</v>
      </c>
      <c r="U15" s="135">
        <v>12</v>
      </c>
      <c r="V15" s="135">
        <v>10</v>
      </c>
      <c r="W15" s="135">
        <v>70</v>
      </c>
      <c r="X15" s="135">
        <v>5</v>
      </c>
      <c r="Y15" s="135">
        <v>10000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5">
        <v>0</v>
      </c>
      <c r="AG15" s="135">
        <v>0</v>
      </c>
      <c r="AH15" s="135" t="s">
        <v>328</v>
      </c>
      <c r="AI15" s="135" t="s">
        <v>1325</v>
      </c>
    </row>
    <row r="16" spans="1:35">
      <c r="A16" s="135">
        <v>1500013</v>
      </c>
      <c r="B16" s="133" t="s">
        <v>262</v>
      </c>
      <c r="C16" s="136">
        <v>1001</v>
      </c>
      <c r="D16" s="136" t="s">
        <v>1478</v>
      </c>
      <c r="E16" s="135">
        <v>6300003</v>
      </c>
      <c r="F16" s="135">
        <v>1</v>
      </c>
      <c r="G16" s="135">
        <v>4</v>
      </c>
      <c r="H16" s="135">
        <v>156</v>
      </c>
      <c r="I16" s="135">
        <v>20</v>
      </c>
      <c r="J16" s="135">
        <v>5</v>
      </c>
      <c r="K16" s="149">
        <v>200001</v>
      </c>
      <c r="L16" s="135">
        <v>10000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13</v>
      </c>
      <c r="V16" s="135">
        <v>10</v>
      </c>
      <c r="W16" s="135">
        <v>70</v>
      </c>
      <c r="X16" s="135">
        <v>6</v>
      </c>
      <c r="Y16" s="135">
        <v>10000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5">
        <v>0</v>
      </c>
      <c r="AH16" s="135" t="s">
        <v>328</v>
      </c>
      <c r="AI16" s="135" t="s">
        <v>1325</v>
      </c>
    </row>
    <row r="17" spans="1:35">
      <c r="A17" s="135">
        <v>1500014</v>
      </c>
      <c r="B17" s="133" t="s">
        <v>407</v>
      </c>
      <c r="C17" s="136">
        <v>1001</v>
      </c>
      <c r="D17" s="136" t="s">
        <v>1478</v>
      </c>
      <c r="E17" s="135">
        <v>6300003</v>
      </c>
      <c r="F17" s="135">
        <v>2</v>
      </c>
      <c r="G17" s="135">
        <v>6</v>
      </c>
      <c r="H17" s="135">
        <v>645</v>
      </c>
      <c r="I17" s="135">
        <v>32</v>
      </c>
      <c r="J17" s="135">
        <v>8</v>
      </c>
      <c r="K17" s="149">
        <v>200001</v>
      </c>
      <c r="L17" s="135">
        <v>10000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0</v>
      </c>
      <c r="U17" s="135">
        <v>14</v>
      </c>
      <c r="V17" s="135">
        <v>10</v>
      </c>
      <c r="W17" s="135">
        <v>70</v>
      </c>
      <c r="X17" s="135">
        <v>7</v>
      </c>
      <c r="Y17" s="135">
        <v>10000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5">
        <v>0</v>
      </c>
      <c r="AH17" s="135" t="s">
        <v>328</v>
      </c>
      <c r="AI17" s="135" t="s">
        <v>1325</v>
      </c>
    </row>
    <row r="18" spans="1:35">
      <c r="A18" s="135">
        <v>1500015</v>
      </c>
      <c r="B18" s="133" t="s">
        <v>408</v>
      </c>
      <c r="C18" s="136">
        <v>1001</v>
      </c>
      <c r="D18" s="136" t="s">
        <v>1478</v>
      </c>
      <c r="E18" s="135">
        <v>6300003</v>
      </c>
      <c r="F18" s="135">
        <v>1</v>
      </c>
      <c r="G18" s="135">
        <v>5</v>
      </c>
      <c r="H18" s="135">
        <v>195</v>
      </c>
      <c r="I18" s="135">
        <v>24</v>
      </c>
      <c r="J18" s="135">
        <v>6</v>
      </c>
      <c r="K18" s="149">
        <v>200001</v>
      </c>
      <c r="L18" s="135">
        <v>10000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0</v>
      </c>
      <c r="U18" s="135">
        <v>15</v>
      </c>
      <c r="V18" s="135">
        <v>10</v>
      </c>
      <c r="W18" s="135">
        <v>70</v>
      </c>
      <c r="X18" s="135">
        <v>8</v>
      </c>
      <c r="Y18" s="135">
        <v>10000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5">
        <v>0</v>
      </c>
      <c r="AH18" s="135" t="s">
        <v>329</v>
      </c>
      <c r="AI18" s="135" t="s">
        <v>1325</v>
      </c>
    </row>
    <row r="19" spans="1:35">
      <c r="A19" s="135">
        <v>1500016</v>
      </c>
      <c r="B19" s="133" t="s">
        <v>409</v>
      </c>
      <c r="C19" s="136">
        <v>1001</v>
      </c>
      <c r="D19" s="136" t="s">
        <v>1478</v>
      </c>
      <c r="E19" s="135">
        <v>6300003</v>
      </c>
      <c r="F19" s="135">
        <v>1</v>
      </c>
      <c r="G19" s="135">
        <v>6</v>
      </c>
      <c r="H19" s="135">
        <v>233</v>
      </c>
      <c r="I19" s="135">
        <v>28</v>
      </c>
      <c r="J19" s="135">
        <v>7</v>
      </c>
      <c r="K19" s="149">
        <v>200001</v>
      </c>
      <c r="L19" s="135">
        <v>10000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0</v>
      </c>
      <c r="U19" s="135">
        <v>16</v>
      </c>
      <c r="V19" s="135">
        <v>10</v>
      </c>
      <c r="W19" s="135">
        <v>70</v>
      </c>
      <c r="X19" s="135">
        <v>9</v>
      </c>
      <c r="Y19" s="135">
        <v>10000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5">
        <v>0</v>
      </c>
      <c r="AH19" s="135" t="s">
        <v>329</v>
      </c>
      <c r="AI19" s="135" t="s">
        <v>1325</v>
      </c>
    </row>
    <row r="20" spans="1:35">
      <c r="A20" s="135">
        <v>1500017</v>
      </c>
      <c r="B20" s="133" t="s">
        <v>410</v>
      </c>
      <c r="C20" s="136">
        <v>1001</v>
      </c>
      <c r="D20" s="136" t="s">
        <v>1478</v>
      </c>
      <c r="E20" s="135">
        <v>6300003</v>
      </c>
      <c r="F20" s="135">
        <v>2</v>
      </c>
      <c r="G20" s="135">
        <v>9</v>
      </c>
      <c r="H20" s="135">
        <v>817</v>
      </c>
      <c r="I20" s="135">
        <v>44</v>
      </c>
      <c r="J20" s="135">
        <v>11</v>
      </c>
      <c r="K20" s="149">
        <v>200001</v>
      </c>
      <c r="L20" s="135">
        <v>10000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0</v>
      </c>
      <c r="U20" s="135">
        <v>17</v>
      </c>
      <c r="V20" s="135">
        <v>10</v>
      </c>
      <c r="W20" s="135">
        <v>70</v>
      </c>
      <c r="X20" s="135">
        <v>10</v>
      </c>
      <c r="Y20" s="135">
        <v>10000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5">
        <v>0</v>
      </c>
      <c r="AH20" s="135" t="s">
        <v>329</v>
      </c>
      <c r="AI20" s="135" t="s">
        <v>1325</v>
      </c>
    </row>
    <row r="21" spans="1:35">
      <c r="A21" s="135">
        <v>1500018</v>
      </c>
      <c r="B21" s="133" t="s">
        <v>263</v>
      </c>
      <c r="C21" s="136">
        <v>1006</v>
      </c>
      <c r="D21" s="136" t="s">
        <v>1478</v>
      </c>
      <c r="E21" s="135">
        <v>6300004</v>
      </c>
      <c r="F21" s="135">
        <v>1</v>
      </c>
      <c r="G21" s="135">
        <v>7</v>
      </c>
      <c r="H21" s="135">
        <v>271</v>
      </c>
      <c r="I21" s="135">
        <v>32</v>
      </c>
      <c r="J21" s="135">
        <v>8</v>
      </c>
      <c r="K21" s="149">
        <v>200001</v>
      </c>
      <c r="L21" s="135">
        <v>10000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  <c r="U21" s="135">
        <v>18</v>
      </c>
      <c r="V21" s="135">
        <v>10</v>
      </c>
      <c r="W21" s="135">
        <v>70</v>
      </c>
      <c r="X21" s="135">
        <v>11</v>
      </c>
      <c r="Y21" s="135">
        <v>10000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5">
        <v>0</v>
      </c>
      <c r="AH21" s="135" t="s">
        <v>330</v>
      </c>
      <c r="AI21" s="135" t="s">
        <v>1325</v>
      </c>
    </row>
    <row r="22" spans="1:35">
      <c r="A22" s="135">
        <v>1500019</v>
      </c>
      <c r="B22" s="133" t="s">
        <v>264</v>
      </c>
      <c r="C22" s="136">
        <v>1006</v>
      </c>
      <c r="D22" s="136" t="s">
        <v>1478</v>
      </c>
      <c r="E22" s="135">
        <v>6300004</v>
      </c>
      <c r="F22" s="135">
        <v>2</v>
      </c>
      <c r="G22" s="135">
        <v>8</v>
      </c>
      <c r="H22" s="135">
        <v>760</v>
      </c>
      <c r="I22" s="135">
        <v>40</v>
      </c>
      <c r="J22" s="135">
        <v>10</v>
      </c>
      <c r="K22" s="149">
        <v>200001</v>
      </c>
      <c r="L22" s="135">
        <v>10000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5">
        <v>0</v>
      </c>
      <c r="S22" s="135">
        <v>0</v>
      </c>
      <c r="T22" s="135">
        <v>0</v>
      </c>
      <c r="U22" s="135">
        <v>19</v>
      </c>
      <c r="V22" s="135">
        <v>10</v>
      </c>
      <c r="W22" s="135">
        <v>70</v>
      </c>
      <c r="X22" s="135">
        <v>12</v>
      </c>
      <c r="Y22" s="135">
        <v>10000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5">
        <v>0</v>
      </c>
      <c r="AG22" s="135">
        <v>0</v>
      </c>
      <c r="AH22" s="135" t="s">
        <v>331</v>
      </c>
      <c r="AI22" s="135" t="s">
        <v>1325</v>
      </c>
    </row>
    <row r="23" spans="1:35">
      <c r="A23" s="135">
        <v>1500020</v>
      </c>
      <c r="B23" s="133" t="s">
        <v>265</v>
      </c>
      <c r="C23" s="136">
        <v>1006</v>
      </c>
      <c r="D23" s="136" t="s">
        <v>1478</v>
      </c>
      <c r="E23" s="135">
        <v>6300004</v>
      </c>
      <c r="F23" s="135">
        <v>2</v>
      </c>
      <c r="G23" s="135">
        <v>10</v>
      </c>
      <c r="H23" s="135">
        <v>875</v>
      </c>
      <c r="I23" s="135">
        <v>48</v>
      </c>
      <c r="J23" s="135">
        <v>12</v>
      </c>
      <c r="K23" s="149">
        <v>200001</v>
      </c>
      <c r="L23" s="135">
        <v>10000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20</v>
      </c>
      <c r="V23" s="135">
        <v>10</v>
      </c>
      <c r="W23" s="135">
        <v>70</v>
      </c>
      <c r="X23" s="135">
        <v>13</v>
      </c>
      <c r="Y23" s="135">
        <v>10000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5">
        <v>0</v>
      </c>
      <c r="AH23" s="135" t="s">
        <v>332</v>
      </c>
      <c r="AI23" s="135" t="s">
        <v>1325</v>
      </c>
    </row>
    <row r="24" spans="1:35">
      <c r="A24" s="135">
        <v>1500021</v>
      </c>
      <c r="B24" s="133" t="s">
        <v>266</v>
      </c>
      <c r="C24" s="136">
        <v>1006</v>
      </c>
      <c r="D24" s="136" t="s">
        <v>1478</v>
      </c>
      <c r="E24" s="135">
        <v>6300004</v>
      </c>
      <c r="F24" s="135">
        <v>3</v>
      </c>
      <c r="G24" s="135">
        <v>12</v>
      </c>
      <c r="H24" s="135">
        <v>13420</v>
      </c>
      <c r="I24" s="135">
        <v>60</v>
      </c>
      <c r="J24" s="135">
        <v>15</v>
      </c>
      <c r="K24" s="149">
        <v>200001</v>
      </c>
      <c r="L24" s="135">
        <v>10000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21</v>
      </c>
      <c r="V24" s="135">
        <v>10</v>
      </c>
      <c r="W24" s="135">
        <v>70</v>
      </c>
      <c r="X24" s="135">
        <v>14</v>
      </c>
      <c r="Y24" s="135">
        <v>10000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5">
        <v>0</v>
      </c>
      <c r="AH24" s="135" t="s">
        <v>333</v>
      </c>
      <c r="AI24" s="135" t="s">
        <v>1325</v>
      </c>
    </row>
    <row r="25" spans="1:35" s="137" customFormat="1">
      <c r="A25" s="130" t="s">
        <v>1291</v>
      </c>
      <c r="B25" s="127"/>
    </row>
    <row r="26" spans="1:35">
      <c r="A26" s="135">
        <v>2000000</v>
      </c>
      <c r="B26" s="133" t="s">
        <v>1323</v>
      </c>
      <c r="C26" s="136">
        <v>0</v>
      </c>
      <c r="D26" s="136" t="s">
        <v>1478</v>
      </c>
      <c r="E26" s="135">
        <v>6310001</v>
      </c>
      <c r="F26" s="135">
        <v>0</v>
      </c>
      <c r="G26" s="135">
        <v>0</v>
      </c>
      <c r="H26" s="135">
        <v>10000</v>
      </c>
      <c r="I26" s="135">
        <v>60</v>
      </c>
      <c r="J26" s="135">
        <v>15</v>
      </c>
      <c r="K26" s="149">
        <v>200001</v>
      </c>
      <c r="L26" s="135">
        <v>10000</v>
      </c>
      <c r="M26" s="135">
        <v>0</v>
      </c>
      <c r="N26" s="135"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1</v>
      </c>
      <c r="V26" s="135">
        <v>10</v>
      </c>
      <c r="W26" s="135">
        <v>0</v>
      </c>
      <c r="X26" s="135">
        <v>1</v>
      </c>
      <c r="Y26" s="135">
        <v>10000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5">
        <v>0</v>
      </c>
      <c r="AH26" s="135" t="s">
        <v>1318</v>
      </c>
      <c r="AI26" s="135" t="s">
        <v>1318</v>
      </c>
    </row>
    <row r="27" spans="1:35">
      <c r="A27" s="135">
        <v>2000001</v>
      </c>
      <c r="B27" s="133" t="s">
        <v>1324</v>
      </c>
      <c r="C27" s="136">
        <v>0</v>
      </c>
      <c r="D27" s="136" t="s">
        <v>1478</v>
      </c>
      <c r="E27" s="135">
        <v>6310001</v>
      </c>
      <c r="F27" s="135">
        <v>0</v>
      </c>
      <c r="G27" s="135">
        <v>0</v>
      </c>
      <c r="H27" s="135">
        <v>10</v>
      </c>
      <c r="I27" s="135">
        <v>60</v>
      </c>
      <c r="J27" s="135">
        <v>15</v>
      </c>
      <c r="K27" s="149">
        <v>200001</v>
      </c>
      <c r="L27" s="135">
        <v>10000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2</v>
      </c>
      <c r="V27" s="135">
        <v>20</v>
      </c>
      <c r="W27" s="135">
        <v>0</v>
      </c>
      <c r="X27" s="135">
        <v>1</v>
      </c>
      <c r="Y27" s="135">
        <v>10000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5">
        <v>0</v>
      </c>
      <c r="AH27" s="135" t="s">
        <v>1317</v>
      </c>
      <c r="AI27" s="135" t="s">
        <v>1317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1AD26C7-E74B-4A51-A5C2-E269F6769973}">
          <x14:formula1>
            <xm:f>Tag!$D$8:$D$10</xm:f>
          </x14:formula1>
          <xm:sqref>D4:D27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>
    <tabColor rgb="FF92D050"/>
  </sheetPr>
  <dimension ref="A1:AH73"/>
  <sheetViews>
    <sheetView zoomScale="85" zoomScaleNormal="85" workbookViewId="0">
      <pane xSplit="2" ySplit="1" topLeftCell="C38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E43" sqref="E43"/>
    </sheetView>
  </sheetViews>
  <sheetFormatPr defaultRowHeight="13.5"/>
  <cols>
    <col min="1" max="1" width="10.75" style="135" customWidth="1"/>
    <col min="2" max="2" width="15.875" style="133" bestFit="1" customWidth="1"/>
    <col min="3" max="3" width="15.875" style="133" customWidth="1"/>
    <col min="4" max="8" width="9" style="135" customWidth="1"/>
    <col min="9" max="9" width="12.625" style="135" bestFit="1" customWidth="1"/>
    <col min="10" max="16" width="9" style="135" customWidth="1"/>
    <col min="17" max="32" width="9" style="135"/>
    <col min="33" max="33" width="13.375" style="135" bestFit="1" customWidth="1"/>
    <col min="34" max="34" width="11.75" style="135" bestFit="1" customWidth="1"/>
    <col min="35" max="16384" width="9" style="135"/>
  </cols>
  <sheetData>
    <row r="1" spans="1:34" s="134" customFormat="1">
      <c r="A1" s="134" t="s">
        <v>907</v>
      </c>
      <c r="B1" s="126" t="s">
        <v>932</v>
      </c>
      <c r="C1" s="116" t="s">
        <v>1379</v>
      </c>
      <c r="D1" s="134" t="s">
        <v>935</v>
      </c>
      <c r="E1" s="138" t="s">
        <v>936</v>
      </c>
      <c r="F1" s="134" t="s">
        <v>937</v>
      </c>
      <c r="G1" s="134" t="s">
        <v>938</v>
      </c>
      <c r="H1" s="134" t="s">
        <v>939</v>
      </c>
      <c r="I1" s="134" t="s">
        <v>940</v>
      </c>
      <c r="J1" s="134" t="s">
        <v>941</v>
      </c>
      <c r="K1" s="134" t="s">
        <v>942</v>
      </c>
      <c r="L1" s="134" t="s">
        <v>943</v>
      </c>
      <c r="M1" s="134" t="s">
        <v>944</v>
      </c>
      <c r="N1" s="134" t="s">
        <v>794</v>
      </c>
      <c r="O1" s="138" t="s">
        <v>945</v>
      </c>
      <c r="P1" s="134" t="s">
        <v>946</v>
      </c>
      <c r="Q1" s="134" t="s">
        <v>947</v>
      </c>
      <c r="R1" s="134" t="s">
        <v>948</v>
      </c>
      <c r="S1" s="134" t="s">
        <v>949</v>
      </c>
      <c r="T1" s="134" t="s">
        <v>950</v>
      </c>
      <c r="U1" s="134" t="s">
        <v>951</v>
      </c>
      <c r="V1" s="134" t="s">
        <v>952</v>
      </c>
      <c r="W1" s="134" t="s">
        <v>953</v>
      </c>
      <c r="X1" s="134" t="s">
        <v>320</v>
      </c>
      <c r="Y1" s="134" t="s">
        <v>321</v>
      </c>
      <c r="Z1" s="134" t="s">
        <v>322</v>
      </c>
      <c r="AA1" s="134" t="s">
        <v>323</v>
      </c>
      <c r="AB1" s="134" t="s">
        <v>324</v>
      </c>
      <c r="AC1" s="134" t="s">
        <v>216</v>
      </c>
      <c r="AD1" s="134" t="s">
        <v>217</v>
      </c>
      <c r="AE1" s="134" t="s">
        <v>954</v>
      </c>
      <c r="AF1" s="134" t="s">
        <v>955</v>
      </c>
      <c r="AG1" s="134" t="s">
        <v>933</v>
      </c>
      <c r="AH1" s="134" t="s">
        <v>934</v>
      </c>
    </row>
    <row r="2" spans="1:34" s="134" customFormat="1">
      <c r="A2" s="134" t="s">
        <v>668</v>
      </c>
      <c r="B2" s="126"/>
      <c r="C2" s="117" t="s">
        <v>1380</v>
      </c>
      <c r="D2" s="134" t="s">
        <v>722</v>
      </c>
      <c r="E2" s="138" t="s">
        <v>958</v>
      </c>
      <c r="F2" s="134" t="s">
        <v>959</v>
      </c>
      <c r="G2" s="134" t="s">
        <v>960</v>
      </c>
      <c r="H2" s="134" t="s">
        <v>961</v>
      </c>
      <c r="I2" s="134" t="s">
        <v>962</v>
      </c>
      <c r="J2" s="134" t="s">
        <v>963</v>
      </c>
      <c r="K2" s="134" t="s">
        <v>964</v>
      </c>
      <c r="L2" s="134" t="s">
        <v>965</v>
      </c>
      <c r="M2" s="134" t="s">
        <v>966</v>
      </c>
      <c r="N2" s="134" t="s">
        <v>803</v>
      </c>
      <c r="O2" s="139" t="s">
        <v>967</v>
      </c>
      <c r="P2" s="134" t="s">
        <v>968</v>
      </c>
      <c r="Q2" s="134" t="s">
        <v>969</v>
      </c>
      <c r="R2" s="134" t="s">
        <v>675</v>
      </c>
      <c r="S2" s="134" t="s">
        <v>676</v>
      </c>
      <c r="T2" s="134" t="s">
        <v>677</v>
      </c>
      <c r="U2" s="134" t="s">
        <v>678</v>
      </c>
      <c r="V2" s="134" t="s">
        <v>679</v>
      </c>
      <c r="W2" s="134" t="s">
        <v>970</v>
      </c>
      <c r="X2" s="134" t="s">
        <v>315</v>
      </c>
      <c r="Y2" s="134" t="s">
        <v>316</v>
      </c>
      <c r="Z2" s="134" t="s">
        <v>317</v>
      </c>
      <c r="AA2" s="134" t="s">
        <v>318</v>
      </c>
      <c r="AB2" s="134" t="s">
        <v>319</v>
      </c>
      <c r="AC2" s="134" t="s">
        <v>218</v>
      </c>
      <c r="AD2" s="134" t="s">
        <v>219</v>
      </c>
      <c r="AE2" s="134" t="s">
        <v>971</v>
      </c>
      <c r="AF2" s="134" t="s">
        <v>972</v>
      </c>
      <c r="AG2" s="134" t="s">
        <v>956</v>
      </c>
      <c r="AH2" s="134" t="s">
        <v>957</v>
      </c>
    </row>
    <row r="3" spans="1:34" s="134" customFormat="1">
      <c r="A3" s="134" t="s">
        <v>14</v>
      </c>
      <c r="B3" s="126"/>
      <c r="C3" s="117" t="s">
        <v>1378</v>
      </c>
      <c r="D3" s="134" t="s">
        <v>1333</v>
      </c>
      <c r="E3" s="138" t="s">
        <v>670</v>
      </c>
      <c r="F3" s="134" t="s">
        <v>1333</v>
      </c>
      <c r="G3" s="134" t="s">
        <v>14</v>
      </c>
      <c r="H3" s="134" t="s">
        <v>1333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1333</v>
      </c>
      <c r="N3" s="134" t="s">
        <v>1333</v>
      </c>
      <c r="O3" s="139" t="s">
        <v>670</v>
      </c>
      <c r="P3" s="134" t="s">
        <v>670</v>
      </c>
      <c r="Q3" s="134" t="s">
        <v>670</v>
      </c>
      <c r="R3" s="134" t="s">
        <v>670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34" t="s">
        <v>670</v>
      </c>
      <c r="Z3" s="134" t="s">
        <v>670</v>
      </c>
      <c r="AA3" s="134" t="s">
        <v>670</v>
      </c>
      <c r="AB3" s="134" t="s">
        <v>670</v>
      </c>
      <c r="AC3" s="134" t="s">
        <v>14</v>
      </c>
      <c r="AD3" s="134" t="s">
        <v>14</v>
      </c>
      <c r="AE3" s="134" t="s">
        <v>14</v>
      </c>
      <c r="AF3" s="134" t="s">
        <v>670</v>
      </c>
      <c r="AG3" s="134" t="s">
        <v>973</v>
      </c>
      <c r="AH3" s="116" t="s">
        <v>974</v>
      </c>
    </row>
    <row r="4" spans="1:34" s="137" customFormat="1">
      <c r="A4" s="130" t="s">
        <v>1292</v>
      </c>
    </row>
    <row r="5" spans="1:34">
      <c r="A5" s="135">
        <v>1</v>
      </c>
      <c r="B5" s="133" t="str">
        <f>VLOOKUP(A:A,Multilingual!A:B,2,FALSE)</f>
        <v>테스트_01</v>
      </c>
      <c r="C5" s="133" t="s">
        <v>1381</v>
      </c>
      <c r="D5" s="135">
        <v>1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>
        <v>0</v>
      </c>
      <c r="AH5" s="135" t="s">
        <v>1289</v>
      </c>
    </row>
    <row r="6" spans="1:34">
      <c r="A6" s="135">
        <f>A5+1</f>
        <v>2</v>
      </c>
      <c r="B6" s="133" t="str">
        <f>VLOOKUP(A:A,Multilingual!A:B,2,FALSE)</f>
        <v>테스트_02</v>
      </c>
      <c r="C6" s="133" t="s">
        <v>1381</v>
      </c>
      <c r="D6" s="135">
        <v>2</v>
      </c>
      <c r="E6" s="135">
        <v>0</v>
      </c>
      <c r="F6" s="135">
        <v>0</v>
      </c>
      <c r="G6" s="135">
        <v>0</v>
      </c>
      <c r="H6" s="135">
        <v>0</v>
      </c>
      <c r="I6" s="135">
        <v>0</v>
      </c>
      <c r="J6" s="135">
        <v>0</v>
      </c>
      <c r="K6" s="135"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>
        <v>0</v>
      </c>
      <c r="AH6" s="135" t="s">
        <v>1290</v>
      </c>
    </row>
    <row r="7" spans="1:34">
      <c r="A7" s="135">
        <f>A6+1</f>
        <v>3</v>
      </c>
      <c r="B7" s="133" t="str">
        <f>VLOOKUP(A:A,Multilingual!A:B,2,FALSE)</f>
        <v>테스트_03</v>
      </c>
      <c r="C7" s="133" t="s">
        <v>1381</v>
      </c>
      <c r="D7" s="135">
        <v>3</v>
      </c>
      <c r="E7" s="135">
        <v>0</v>
      </c>
      <c r="F7" s="135">
        <v>0</v>
      </c>
      <c r="G7" s="135">
        <v>0</v>
      </c>
      <c r="H7" s="135">
        <v>0</v>
      </c>
      <c r="I7" s="135">
        <v>0</v>
      </c>
      <c r="J7" s="135">
        <v>0</v>
      </c>
      <c r="K7" s="135">
        <v>0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5"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5"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5">
        <v>0</v>
      </c>
      <c r="AG7" s="135">
        <v>0</v>
      </c>
      <c r="AH7" s="135">
        <v>0</v>
      </c>
    </row>
    <row r="8" spans="1:34" s="137" customFormat="1">
      <c r="A8" s="130" t="s">
        <v>1293</v>
      </c>
    </row>
    <row r="9" spans="1:34">
      <c r="A9" s="135">
        <v>100001</v>
      </c>
      <c r="B9" s="133" t="str">
        <f>VLOOKUP(A:A,Multilingual!A:B,2,FALSE)</f>
        <v>저급 투구</v>
      </c>
      <c r="C9" s="133" t="s">
        <v>1382</v>
      </c>
      <c r="D9" s="135">
        <v>1</v>
      </c>
      <c r="E9" s="135">
        <v>0</v>
      </c>
      <c r="F9" s="135">
        <v>1</v>
      </c>
      <c r="G9" s="135">
        <v>0</v>
      </c>
      <c r="H9" s="135">
        <v>1</v>
      </c>
      <c r="I9" s="135">
        <v>1</v>
      </c>
      <c r="J9" s="136">
        <v>160</v>
      </c>
      <c r="K9" s="135">
        <f>ROUNDDOWN(J9/10,0)</f>
        <v>16</v>
      </c>
      <c r="L9" s="135">
        <f>IF(D9&gt;=6,5,0)</f>
        <v>0</v>
      </c>
      <c r="M9" s="135">
        <v>1</v>
      </c>
      <c r="N9" s="135">
        <f>IF(D9&gt;=6,4,0)</f>
        <v>0</v>
      </c>
      <c r="O9" s="135">
        <v>0</v>
      </c>
      <c r="P9" s="135">
        <v>0</v>
      </c>
      <c r="Q9" s="135">
        <v>0</v>
      </c>
      <c r="R9" s="135">
        <v>0</v>
      </c>
      <c r="S9" s="135">
        <v>0</v>
      </c>
      <c r="T9" s="135">
        <v>0</v>
      </c>
      <c r="U9" s="135">
        <v>0</v>
      </c>
      <c r="V9" s="135">
        <v>0</v>
      </c>
      <c r="W9" s="136">
        <v>3</v>
      </c>
      <c r="X9" s="135">
        <v>0</v>
      </c>
      <c r="Y9" s="135"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5">
        <v>0</v>
      </c>
      <c r="AG9" s="136" t="s">
        <v>411</v>
      </c>
      <c r="AH9" s="136" t="s">
        <v>466</v>
      </c>
    </row>
    <row r="10" spans="1:34">
      <c r="A10" s="135">
        <f>A9+1</f>
        <v>100002</v>
      </c>
      <c r="B10" s="133" t="str">
        <f>VLOOKUP(A:A,Multilingual!A:B,2,FALSE)</f>
        <v>투구</v>
      </c>
      <c r="C10" s="133" t="s">
        <v>1382</v>
      </c>
      <c r="D10" s="135">
        <v>2</v>
      </c>
      <c r="E10" s="135">
        <v>0</v>
      </c>
      <c r="F10" s="135">
        <v>1</v>
      </c>
      <c r="G10" s="135">
        <v>0</v>
      </c>
      <c r="H10" s="135">
        <v>1</v>
      </c>
      <c r="I10" s="135">
        <v>1</v>
      </c>
      <c r="J10" s="136">
        <v>310</v>
      </c>
      <c r="K10" s="135">
        <f t="shared" ref="K10:K14" si="0">ROUNDDOWN(J10/10,0)</f>
        <v>31</v>
      </c>
      <c r="L10" s="135">
        <f t="shared" ref="L10:L14" si="1">IF(D10&gt;=6,5,0)</f>
        <v>0</v>
      </c>
      <c r="M10" s="135">
        <v>1</v>
      </c>
      <c r="N10" s="135">
        <f t="shared" ref="N10:N14" si="2">IF(D10&gt;=6,4,0)</f>
        <v>0</v>
      </c>
      <c r="O10" s="135">
        <v>0</v>
      </c>
      <c r="P10" s="135">
        <v>0</v>
      </c>
      <c r="Q10" s="135">
        <v>0</v>
      </c>
      <c r="R10" s="135">
        <v>0</v>
      </c>
      <c r="S10" s="135">
        <v>0</v>
      </c>
      <c r="T10" s="135">
        <v>0</v>
      </c>
      <c r="U10" s="135">
        <v>0</v>
      </c>
      <c r="V10" s="135">
        <v>0</v>
      </c>
      <c r="W10" s="136">
        <v>5</v>
      </c>
      <c r="X10" s="135">
        <v>0</v>
      </c>
      <c r="Y10" s="135"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5">
        <v>0</v>
      </c>
      <c r="AG10" s="136" t="s">
        <v>411</v>
      </c>
      <c r="AH10" s="136" t="s">
        <v>467</v>
      </c>
    </row>
    <row r="11" spans="1:34">
      <c r="A11" s="135">
        <f t="shared" ref="A11:A14" si="3">A10+1</f>
        <v>100003</v>
      </c>
      <c r="B11" s="133" t="str">
        <f>VLOOKUP(A:A,Multilingual!A:B,2,FALSE)</f>
        <v>고급 군모</v>
      </c>
      <c r="C11" s="133" t="s">
        <v>1382</v>
      </c>
      <c r="D11" s="135">
        <v>3</v>
      </c>
      <c r="E11" s="135">
        <v>0</v>
      </c>
      <c r="F11" s="135">
        <v>1</v>
      </c>
      <c r="G11" s="135">
        <v>0</v>
      </c>
      <c r="H11" s="135">
        <v>1</v>
      </c>
      <c r="I11" s="135">
        <v>1</v>
      </c>
      <c r="J11" s="136">
        <v>460</v>
      </c>
      <c r="K11" s="135">
        <f t="shared" si="0"/>
        <v>46</v>
      </c>
      <c r="L11" s="135">
        <f t="shared" si="1"/>
        <v>0</v>
      </c>
      <c r="M11" s="135">
        <v>1</v>
      </c>
      <c r="N11" s="135">
        <f t="shared" si="2"/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0</v>
      </c>
      <c r="V11" s="135">
        <v>0</v>
      </c>
      <c r="W11" s="136">
        <v>6</v>
      </c>
      <c r="X11" s="135">
        <v>0</v>
      </c>
      <c r="Y11" s="135"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6" t="s">
        <v>411</v>
      </c>
      <c r="AH11" s="136" t="s">
        <v>468</v>
      </c>
    </row>
    <row r="12" spans="1:34">
      <c r="A12" s="135">
        <f t="shared" si="3"/>
        <v>100004</v>
      </c>
      <c r="B12" s="133" t="str">
        <f>VLOOKUP(A:A,Multilingual!A:B,2,FALSE)</f>
        <v>질긴 대형 투구</v>
      </c>
      <c r="C12" s="133" t="s">
        <v>1381</v>
      </c>
      <c r="D12" s="135">
        <v>4</v>
      </c>
      <c r="E12" s="135">
        <v>0</v>
      </c>
      <c r="F12" s="135">
        <v>1</v>
      </c>
      <c r="G12" s="135">
        <v>0</v>
      </c>
      <c r="H12" s="135">
        <v>1</v>
      </c>
      <c r="I12" s="135">
        <v>1</v>
      </c>
      <c r="J12" s="136">
        <v>610</v>
      </c>
      <c r="K12" s="135">
        <f t="shared" si="0"/>
        <v>61</v>
      </c>
      <c r="L12" s="135">
        <f t="shared" si="1"/>
        <v>0</v>
      </c>
      <c r="M12" s="135">
        <v>1</v>
      </c>
      <c r="N12" s="135">
        <f t="shared" si="2"/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  <c r="U12" s="135">
        <v>0</v>
      </c>
      <c r="V12" s="135">
        <v>0</v>
      </c>
      <c r="W12" s="136">
        <v>7</v>
      </c>
      <c r="X12" s="135">
        <v>0</v>
      </c>
      <c r="Y12" s="135"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6" t="s">
        <v>411</v>
      </c>
      <c r="AH12" s="136" t="s">
        <v>469</v>
      </c>
    </row>
    <row r="13" spans="1:34">
      <c r="A13" s="135">
        <f t="shared" si="3"/>
        <v>100005</v>
      </c>
      <c r="B13" s="133" t="str">
        <f>VLOOKUP(A:A,Multilingual!A:B,2,FALSE)</f>
        <v>갈라진 도움</v>
      </c>
      <c r="C13" s="133" t="s">
        <v>1382</v>
      </c>
      <c r="D13" s="135">
        <v>5</v>
      </c>
      <c r="E13" s="135">
        <v>0</v>
      </c>
      <c r="F13" s="135">
        <v>1</v>
      </c>
      <c r="G13" s="135">
        <v>0</v>
      </c>
      <c r="H13" s="135">
        <v>1</v>
      </c>
      <c r="I13" s="135">
        <v>1</v>
      </c>
      <c r="J13" s="136">
        <v>760</v>
      </c>
      <c r="K13" s="135">
        <f t="shared" si="0"/>
        <v>76</v>
      </c>
      <c r="L13" s="135">
        <f t="shared" si="1"/>
        <v>0</v>
      </c>
      <c r="M13" s="135">
        <v>1</v>
      </c>
      <c r="N13" s="135">
        <f t="shared" si="2"/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0</v>
      </c>
      <c r="V13" s="135">
        <v>0</v>
      </c>
      <c r="W13" s="136">
        <v>8</v>
      </c>
      <c r="X13" s="135">
        <v>0</v>
      </c>
      <c r="Y13" s="135"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6" t="s">
        <v>411</v>
      </c>
      <c r="AH13" s="136" t="s">
        <v>470</v>
      </c>
    </row>
    <row r="14" spans="1:34">
      <c r="A14" s="135">
        <f t="shared" si="3"/>
        <v>100006</v>
      </c>
      <c r="B14" s="133" t="str">
        <f>VLOOKUP(A:A,Multilingual!A:B,2,FALSE)</f>
        <v>냄비 뚜껑</v>
      </c>
      <c r="C14" s="133" t="s">
        <v>1382</v>
      </c>
      <c r="D14" s="135">
        <v>6</v>
      </c>
      <c r="E14" s="135">
        <v>0</v>
      </c>
      <c r="F14" s="135">
        <v>1</v>
      </c>
      <c r="G14" s="135">
        <v>0</v>
      </c>
      <c r="H14" s="135">
        <v>1</v>
      </c>
      <c r="I14" s="135">
        <v>1</v>
      </c>
      <c r="J14" s="136">
        <v>910</v>
      </c>
      <c r="K14" s="135">
        <f t="shared" si="0"/>
        <v>91</v>
      </c>
      <c r="L14" s="135">
        <f t="shared" si="1"/>
        <v>5</v>
      </c>
      <c r="M14" s="135">
        <v>1</v>
      </c>
      <c r="N14" s="135">
        <f t="shared" si="2"/>
        <v>4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  <c r="U14" s="135">
        <v>0</v>
      </c>
      <c r="V14" s="135">
        <v>0</v>
      </c>
      <c r="W14" s="136">
        <v>10</v>
      </c>
      <c r="X14" s="135">
        <v>0</v>
      </c>
      <c r="Y14" s="135"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6" t="s">
        <v>411</v>
      </c>
      <c r="AH14" s="136" t="s">
        <v>471</v>
      </c>
    </row>
    <row r="15" spans="1:34" s="137" customFormat="1">
      <c r="A15" s="130" t="s">
        <v>975</v>
      </c>
    </row>
    <row r="16" spans="1:34">
      <c r="A16" s="135">
        <v>200001</v>
      </c>
      <c r="B16" s="133" t="str">
        <f>VLOOKUP(A:A,Multilingual!A:B,2,FALSE)</f>
        <v>저급 가죽 갑옷</v>
      </c>
      <c r="C16" s="133" t="s">
        <v>1382</v>
      </c>
      <c r="D16" s="135">
        <v>1</v>
      </c>
      <c r="E16" s="135">
        <v>0</v>
      </c>
      <c r="F16" s="135">
        <v>1</v>
      </c>
      <c r="G16" s="135">
        <v>0</v>
      </c>
      <c r="H16" s="135">
        <v>1</v>
      </c>
      <c r="I16" s="135">
        <f>I14*2</f>
        <v>2</v>
      </c>
      <c r="J16" s="136">
        <v>170</v>
      </c>
      <c r="K16" s="135">
        <f>ROUNDDOWN(J16/10,0)</f>
        <v>17</v>
      </c>
      <c r="L16" s="135">
        <f>IF(D16&gt;=6,5,0)</f>
        <v>0</v>
      </c>
      <c r="M16" s="135">
        <v>1</v>
      </c>
      <c r="N16" s="135">
        <f>IF(D16&gt;=6,4,0)</f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0</v>
      </c>
      <c r="V16" s="135">
        <v>0</v>
      </c>
      <c r="W16" s="136">
        <v>7</v>
      </c>
      <c r="X16" s="135">
        <v>0</v>
      </c>
      <c r="Y16" s="135"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6" t="s">
        <v>411</v>
      </c>
      <c r="AH16" s="136" t="s">
        <v>472</v>
      </c>
    </row>
    <row r="17" spans="1:34">
      <c r="A17" s="135">
        <f>A16+1</f>
        <v>200002</v>
      </c>
      <c r="B17" s="133" t="str">
        <f>VLOOKUP(A:A,Multilingual!A:B,2,FALSE)</f>
        <v>가죽 갑옷</v>
      </c>
      <c r="C17" s="133" t="s">
        <v>1382</v>
      </c>
      <c r="D17" s="135">
        <v>2</v>
      </c>
      <c r="E17" s="135">
        <v>0</v>
      </c>
      <c r="F17" s="135">
        <v>1</v>
      </c>
      <c r="G17" s="135">
        <v>0</v>
      </c>
      <c r="H17" s="135">
        <v>1</v>
      </c>
      <c r="I17" s="135">
        <f>I16</f>
        <v>2</v>
      </c>
      <c r="J17" s="136">
        <v>320</v>
      </c>
      <c r="K17" s="135">
        <f t="shared" ref="K17:K21" si="4">ROUNDDOWN(J17/10,0)</f>
        <v>32</v>
      </c>
      <c r="L17" s="135">
        <f t="shared" ref="L17:L21" si="5">IF(D17&gt;=6,5,0)</f>
        <v>0</v>
      </c>
      <c r="M17" s="135">
        <v>1</v>
      </c>
      <c r="N17" s="135">
        <f t="shared" ref="N17:N21" si="6">IF(D17&gt;=6,4,0)</f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0</v>
      </c>
      <c r="U17" s="135">
        <v>0</v>
      </c>
      <c r="V17" s="135">
        <v>0</v>
      </c>
      <c r="W17" s="136">
        <v>10</v>
      </c>
      <c r="X17" s="135">
        <v>0</v>
      </c>
      <c r="Y17" s="135"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6" t="s">
        <v>411</v>
      </c>
      <c r="AH17" s="136" t="s">
        <v>473</v>
      </c>
    </row>
    <row r="18" spans="1:34">
      <c r="A18" s="135">
        <f t="shared" ref="A18:A21" si="7">A17+1</f>
        <v>200003</v>
      </c>
      <c r="B18" s="133" t="str">
        <f>VLOOKUP(A:A,Multilingual!A:B,2,FALSE)</f>
        <v>고급 판 갑옷</v>
      </c>
      <c r="C18" s="133" t="s">
        <v>1382</v>
      </c>
      <c r="D18" s="135">
        <v>3</v>
      </c>
      <c r="E18" s="135">
        <v>0</v>
      </c>
      <c r="F18" s="135">
        <v>1</v>
      </c>
      <c r="G18" s="135">
        <v>0</v>
      </c>
      <c r="H18" s="135">
        <v>1</v>
      </c>
      <c r="I18" s="135">
        <f t="shared" ref="I18:I21" si="8">I17</f>
        <v>2</v>
      </c>
      <c r="J18" s="136">
        <v>470</v>
      </c>
      <c r="K18" s="135">
        <f t="shared" si="4"/>
        <v>47</v>
      </c>
      <c r="L18" s="135">
        <f t="shared" si="5"/>
        <v>0</v>
      </c>
      <c r="M18" s="135">
        <v>1</v>
      </c>
      <c r="N18" s="135">
        <f t="shared" si="6"/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0</v>
      </c>
      <c r="U18" s="135">
        <v>0</v>
      </c>
      <c r="V18" s="135">
        <v>0</v>
      </c>
      <c r="W18" s="136">
        <v>12</v>
      </c>
      <c r="X18" s="135">
        <v>0</v>
      </c>
      <c r="Y18" s="135"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6" t="s">
        <v>411</v>
      </c>
      <c r="AH18" s="136" t="s">
        <v>474</v>
      </c>
    </row>
    <row r="19" spans="1:34">
      <c r="A19" s="135">
        <f t="shared" si="7"/>
        <v>200004</v>
      </c>
      <c r="B19" s="133" t="str">
        <f>VLOOKUP(A:A,Multilingual!A:B,2,FALSE)</f>
        <v>못 박힌 철판 갑옷</v>
      </c>
      <c r="C19" s="133" t="s">
        <v>1382</v>
      </c>
      <c r="D19" s="135">
        <v>4</v>
      </c>
      <c r="E19" s="135">
        <v>0</v>
      </c>
      <c r="F19" s="135">
        <v>1</v>
      </c>
      <c r="G19" s="135">
        <v>0</v>
      </c>
      <c r="H19" s="135">
        <v>1</v>
      </c>
      <c r="I19" s="135">
        <f t="shared" si="8"/>
        <v>2</v>
      </c>
      <c r="J19" s="136">
        <v>620</v>
      </c>
      <c r="K19" s="135">
        <f t="shared" si="4"/>
        <v>62</v>
      </c>
      <c r="L19" s="135">
        <f t="shared" si="5"/>
        <v>0</v>
      </c>
      <c r="M19" s="135">
        <v>1</v>
      </c>
      <c r="N19" s="135">
        <f t="shared" si="6"/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0</v>
      </c>
      <c r="U19" s="135">
        <v>0</v>
      </c>
      <c r="V19" s="135">
        <v>0</v>
      </c>
      <c r="W19" s="136">
        <v>14</v>
      </c>
      <c r="X19" s="135">
        <v>0</v>
      </c>
      <c r="Y19" s="135"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6" t="s">
        <v>411</v>
      </c>
      <c r="AH19" s="136" t="s">
        <v>475</v>
      </c>
    </row>
    <row r="20" spans="1:34">
      <c r="A20" s="135">
        <f t="shared" si="7"/>
        <v>200005</v>
      </c>
      <c r="B20" s="133" t="str">
        <f>VLOOKUP(A:A,Multilingual!A:B,2,FALSE)</f>
        <v>당연한 특징</v>
      </c>
      <c r="C20" s="133" t="s">
        <v>1382</v>
      </c>
      <c r="D20" s="135">
        <v>5</v>
      </c>
      <c r="E20" s="135">
        <v>0</v>
      </c>
      <c r="F20" s="135">
        <v>1</v>
      </c>
      <c r="G20" s="135">
        <v>0</v>
      </c>
      <c r="H20" s="135">
        <v>1</v>
      </c>
      <c r="I20" s="135">
        <f t="shared" si="8"/>
        <v>2</v>
      </c>
      <c r="J20" s="136">
        <v>770</v>
      </c>
      <c r="K20" s="135">
        <f t="shared" si="4"/>
        <v>77</v>
      </c>
      <c r="L20" s="135">
        <f t="shared" si="5"/>
        <v>0</v>
      </c>
      <c r="M20" s="135">
        <v>1</v>
      </c>
      <c r="N20" s="135">
        <f t="shared" si="6"/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0</v>
      </c>
      <c r="U20" s="135">
        <v>0</v>
      </c>
      <c r="V20" s="135">
        <v>0</v>
      </c>
      <c r="W20" s="136">
        <v>17</v>
      </c>
      <c r="X20" s="135">
        <v>0</v>
      </c>
      <c r="Y20" s="135"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6" t="s">
        <v>411</v>
      </c>
      <c r="AH20" s="136" t="s">
        <v>476</v>
      </c>
    </row>
    <row r="21" spans="1:34">
      <c r="A21" s="135">
        <f t="shared" si="7"/>
        <v>200006</v>
      </c>
      <c r="B21" s="133" t="str">
        <f>VLOOKUP(A:A,Multilingual!A:B,2,FALSE)</f>
        <v>황금 갑옷</v>
      </c>
      <c r="C21" s="133" t="s">
        <v>1382</v>
      </c>
      <c r="D21" s="135">
        <v>6</v>
      </c>
      <c r="E21" s="135">
        <v>0</v>
      </c>
      <c r="F21" s="135">
        <v>1</v>
      </c>
      <c r="G21" s="135">
        <v>0</v>
      </c>
      <c r="H21" s="135">
        <v>1</v>
      </c>
      <c r="I21" s="135">
        <f t="shared" si="8"/>
        <v>2</v>
      </c>
      <c r="J21" s="136">
        <v>920</v>
      </c>
      <c r="K21" s="135">
        <f t="shared" si="4"/>
        <v>92</v>
      </c>
      <c r="L21" s="135">
        <f t="shared" si="5"/>
        <v>5</v>
      </c>
      <c r="M21" s="135">
        <v>1</v>
      </c>
      <c r="N21" s="135">
        <f t="shared" si="6"/>
        <v>4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  <c r="U21" s="135">
        <v>0</v>
      </c>
      <c r="V21" s="135">
        <v>0</v>
      </c>
      <c r="W21" s="136">
        <v>21</v>
      </c>
      <c r="X21" s="135">
        <v>0</v>
      </c>
      <c r="Y21" s="135"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6" t="s">
        <v>411</v>
      </c>
      <c r="AH21" s="136" t="s">
        <v>477</v>
      </c>
    </row>
    <row r="22" spans="1:34" s="137" customFormat="1">
      <c r="A22" s="130" t="s">
        <v>611</v>
      </c>
    </row>
    <row r="23" spans="1:34">
      <c r="A23" s="135">
        <v>300001</v>
      </c>
      <c r="B23" s="133" t="str">
        <f>VLOOKUP(A:A,Multilingual!A:B,2,FALSE)</f>
        <v>저급 바지</v>
      </c>
      <c r="C23" s="133" t="s">
        <v>1382</v>
      </c>
      <c r="D23" s="135">
        <v>1</v>
      </c>
      <c r="E23" s="135">
        <v>0</v>
      </c>
      <c r="F23" s="135">
        <v>1</v>
      </c>
      <c r="G23" s="135">
        <v>0</v>
      </c>
      <c r="H23" s="135">
        <v>1</v>
      </c>
      <c r="I23" s="135">
        <f>I21*2</f>
        <v>4</v>
      </c>
      <c r="J23" s="136">
        <v>190</v>
      </c>
      <c r="K23" s="135">
        <f>ROUNDDOWN(J23/10,0)</f>
        <v>19</v>
      </c>
      <c r="L23" s="135">
        <f>IF(D23&gt;=6,5,0)</f>
        <v>0</v>
      </c>
      <c r="M23" s="135">
        <v>1</v>
      </c>
      <c r="N23" s="135">
        <f>IF(D23&gt;=6,4,0)</f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0</v>
      </c>
      <c r="V23" s="135">
        <v>0</v>
      </c>
      <c r="W23" s="136">
        <v>5</v>
      </c>
      <c r="X23" s="135">
        <v>0</v>
      </c>
      <c r="Y23" s="135"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6" t="s">
        <v>411</v>
      </c>
      <c r="AH23" s="136" t="s">
        <v>478</v>
      </c>
    </row>
    <row r="24" spans="1:34">
      <c r="A24" s="135">
        <f>A23+1</f>
        <v>300002</v>
      </c>
      <c r="B24" s="133" t="str">
        <f>VLOOKUP(A:A,Multilingual!A:B,2,FALSE)</f>
        <v>가죽 바지</v>
      </c>
      <c r="C24" s="133" t="s">
        <v>1382</v>
      </c>
      <c r="D24" s="135">
        <v>2</v>
      </c>
      <c r="E24" s="135">
        <v>0</v>
      </c>
      <c r="F24" s="135">
        <v>1</v>
      </c>
      <c r="G24" s="135">
        <v>0</v>
      </c>
      <c r="H24" s="135">
        <v>1</v>
      </c>
      <c r="I24" s="135">
        <f>I23</f>
        <v>4</v>
      </c>
      <c r="J24" s="136">
        <v>340</v>
      </c>
      <c r="K24" s="135">
        <f t="shared" ref="K24:K28" si="9">ROUNDDOWN(J24/10,0)</f>
        <v>34</v>
      </c>
      <c r="L24" s="135">
        <f t="shared" ref="L24:L28" si="10">IF(D24&gt;=6,5,0)</f>
        <v>0</v>
      </c>
      <c r="M24" s="135">
        <v>1</v>
      </c>
      <c r="N24" s="135">
        <f t="shared" ref="N24:N28" si="11">IF(D24&gt;=6,4,0)</f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0</v>
      </c>
      <c r="V24" s="135">
        <v>0</v>
      </c>
      <c r="W24" s="136">
        <v>7</v>
      </c>
      <c r="X24" s="135">
        <v>0</v>
      </c>
      <c r="Y24" s="135"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6" t="s">
        <v>411</v>
      </c>
      <c r="AH24" s="136" t="s">
        <v>479</v>
      </c>
    </row>
    <row r="25" spans="1:34">
      <c r="A25" s="135">
        <f t="shared" ref="A25:A28" si="12">A24+1</f>
        <v>300003</v>
      </c>
      <c r="B25" s="133" t="str">
        <f>VLOOKUP(A:A,Multilingual!A:B,2,FALSE)</f>
        <v>고급 가죽 바지</v>
      </c>
      <c r="C25" s="133" t="s">
        <v>1382</v>
      </c>
      <c r="D25" s="135">
        <v>3</v>
      </c>
      <c r="E25" s="135">
        <v>0</v>
      </c>
      <c r="F25" s="135">
        <v>1</v>
      </c>
      <c r="G25" s="135">
        <v>0</v>
      </c>
      <c r="H25" s="135">
        <v>1</v>
      </c>
      <c r="I25" s="135">
        <f t="shared" ref="I25:I28" si="13">I24</f>
        <v>4</v>
      </c>
      <c r="J25" s="136">
        <v>490</v>
      </c>
      <c r="K25" s="135">
        <f t="shared" si="9"/>
        <v>49</v>
      </c>
      <c r="L25" s="135">
        <f t="shared" si="10"/>
        <v>0</v>
      </c>
      <c r="M25" s="135">
        <v>1</v>
      </c>
      <c r="N25" s="135">
        <f t="shared" si="11"/>
        <v>0</v>
      </c>
      <c r="O25" s="135">
        <v>0</v>
      </c>
      <c r="P25" s="135">
        <v>0</v>
      </c>
      <c r="Q25" s="135">
        <v>0</v>
      </c>
      <c r="R25" s="135">
        <v>0</v>
      </c>
      <c r="S25" s="135">
        <v>0</v>
      </c>
      <c r="T25" s="135">
        <v>0</v>
      </c>
      <c r="U25" s="135">
        <v>0</v>
      </c>
      <c r="V25" s="135">
        <v>0</v>
      </c>
      <c r="W25" s="136">
        <v>8</v>
      </c>
      <c r="X25" s="135">
        <v>0</v>
      </c>
      <c r="Y25" s="135"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5">
        <v>0</v>
      </c>
      <c r="AG25" s="136" t="s">
        <v>411</v>
      </c>
      <c r="AH25" s="136" t="s">
        <v>480</v>
      </c>
    </row>
    <row r="26" spans="1:34">
      <c r="A26" s="135">
        <f t="shared" si="12"/>
        <v>300004</v>
      </c>
      <c r="B26" s="133" t="str">
        <f>VLOOKUP(A:A,Multilingual!A:B,2,FALSE)</f>
        <v>튼튼한 가죽 바지</v>
      </c>
      <c r="C26" s="133" t="s">
        <v>1382</v>
      </c>
      <c r="D26" s="135">
        <v>4</v>
      </c>
      <c r="E26" s="135">
        <v>0</v>
      </c>
      <c r="F26" s="135">
        <v>1</v>
      </c>
      <c r="G26" s="135">
        <v>0</v>
      </c>
      <c r="H26" s="135">
        <v>1</v>
      </c>
      <c r="I26" s="135">
        <f t="shared" si="13"/>
        <v>4</v>
      </c>
      <c r="J26" s="136">
        <v>640</v>
      </c>
      <c r="K26" s="135">
        <f t="shared" si="9"/>
        <v>64</v>
      </c>
      <c r="L26" s="135">
        <f t="shared" si="10"/>
        <v>0</v>
      </c>
      <c r="M26" s="135">
        <v>1</v>
      </c>
      <c r="N26" s="135">
        <f t="shared" si="11"/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0</v>
      </c>
      <c r="V26" s="135">
        <v>0</v>
      </c>
      <c r="W26" s="136">
        <v>10</v>
      </c>
      <c r="X26" s="135">
        <v>0</v>
      </c>
      <c r="Y26" s="135"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6" t="s">
        <v>411</v>
      </c>
      <c r="AH26" s="136" t="s">
        <v>481</v>
      </c>
    </row>
    <row r="27" spans="1:34">
      <c r="A27" s="135">
        <f t="shared" si="12"/>
        <v>300005</v>
      </c>
      <c r="B27" s="133" t="str">
        <f>VLOOKUP(A:A,Multilingual!A:B,2,FALSE)</f>
        <v>정강이싸개</v>
      </c>
      <c r="C27" s="133" t="s">
        <v>1382</v>
      </c>
      <c r="D27" s="135">
        <v>5</v>
      </c>
      <c r="E27" s="135">
        <v>0</v>
      </c>
      <c r="F27" s="135">
        <v>1</v>
      </c>
      <c r="G27" s="135">
        <v>0</v>
      </c>
      <c r="H27" s="135">
        <v>1</v>
      </c>
      <c r="I27" s="135">
        <f t="shared" si="13"/>
        <v>4</v>
      </c>
      <c r="J27" s="136">
        <v>790</v>
      </c>
      <c r="K27" s="135">
        <f t="shared" si="9"/>
        <v>79</v>
      </c>
      <c r="L27" s="135">
        <f t="shared" si="10"/>
        <v>0</v>
      </c>
      <c r="M27" s="135">
        <v>1</v>
      </c>
      <c r="N27" s="135">
        <f t="shared" si="11"/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  <c r="W27" s="136">
        <v>12</v>
      </c>
      <c r="X27" s="135">
        <v>0</v>
      </c>
      <c r="Y27" s="135"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6" t="s">
        <v>411</v>
      </c>
      <c r="AH27" s="136" t="s">
        <v>482</v>
      </c>
    </row>
    <row r="28" spans="1:34">
      <c r="A28" s="135">
        <f t="shared" si="12"/>
        <v>300006</v>
      </c>
      <c r="B28" s="133" t="str">
        <f>VLOOKUP(A:A,Multilingual!A:B,2,FALSE)</f>
        <v>공방일체</v>
      </c>
      <c r="C28" s="133" t="s">
        <v>1382</v>
      </c>
      <c r="D28" s="135">
        <v>6</v>
      </c>
      <c r="E28" s="135">
        <v>0</v>
      </c>
      <c r="F28" s="135">
        <v>1</v>
      </c>
      <c r="G28" s="135">
        <v>0</v>
      </c>
      <c r="H28" s="135">
        <v>1</v>
      </c>
      <c r="I28" s="135">
        <f t="shared" si="13"/>
        <v>4</v>
      </c>
      <c r="J28" s="136">
        <v>940</v>
      </c>
      <c r="K28" s="135">
        <f t="shared" si="9"/>
        <v>94</v>
      </c>
      <c r="L28" s="135">
        <f t="shared" si="10"/>
        <v>5</v>
      </c>
      <c r="M28" s="135">
        <v>1</v>
      </c>
      <c r="N28" s="135">
        <f t="shared" si="11"/>
        <v>4</v>
      </c>
      <c r="O28" s="135">
        <v>0</v>
      </c>
      <c r="P28" s="135">
        <v>0</v>
      </c>
      <c r="Q28" s="135">
        <v>0</v>
      </c>
      <c r="R28" s="135">
        <v>0</v>
      </c>
      <c r="S28" s="135">
        <v>0</v>
      </c>
      <c r="T28" s="135">
        <v>0</v>
      </c>
      <c r="U28" s="135">
        <v>0</v>
      </c>
      <c r="V28" s="135">
        <v>0</v>
      </c>
      <c r="W28" s="136">
        <v>15</v>
      </c>
      <c r="X28" s="135">
        <v>0</v>
      </c>
      <c r="Y28" s="135"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5">
        <v>0</v>
      </c>
      <c r="AG28" s="136" t="s">
        <v>411</v>
      </c>
      <c r="AH28" s="136" t="s">
        <v>483</v>
      </c>
    </row>
    <row r="29" spans="1:34" s="137" customFormat="1">
      <c r="A29" s="130" t="s">
        <v>976</v>
      </c>
    </row>
    <row r="30" spans="1:34">
      <c r="A30" s="135">
        <v>400001</v>
      </c>
      <c r="B30" s="133" t="str">
        <f>VLOOKUP(A:A,Multilingual!A:B,2,FALSE)</f>
        <v>저급 장갑</v>
      </c>
      <c r="C30" s="133" t="s">
        <v>1382</v>
      </c>
      <c r="D30" s="135">
        <v>1</v>
      </c>
      <c r="E30" s="135">
        <v>0</v>
      </c>
      <c r="F30" s="135">
        <v>1</v>
      </c>
      <c r="G30" s="135">
        <v>0</v>
      </c>
      <c r="H30" s="135">
        <v>1</v>
      </c>
      <c r="I30" s="135">
        <f>I28*2</f>
        <v>8</v>
      </c>
      <c r="J30" s="136">
        <v>230</v>
      </c>
      <c r="K30" s="135">
        <f>ROUNDDOWN(J30/10,0)</f>
        <v>23</v>
      </c>
      <c r="L30" s="135">
        <f>IF(D30&gt;=6,5,0)</f>
        <v>0</v>
      </c>
      <c r="M30" s="135">
        <v>1</v>
      </c>
      <c r="N30" s="135">
        <f>IF(D30&gt;=6,4,0)</f>
        <v>0</v>
      </c>
      <c r="O30" s="135">
        <v>0</v>
      </c>
      <c r="P30" s="135">
        <v>0</v>
      </c>
      <c r="Q30" s="135">
        <v>0</v>
      </c>
      <c r="R30" s="135">
        <v>0</v>
      </c>
      <c r="S30" s="135">
        <v>0</v>
      </c>
      <c r="T30" s="135">
        <v>0</v>
      </c>
      <c r="U30" s="135">
        <v>0</v>
      </c>
      <c r="V30" s="135">
        <v>0</v>
      </c>
      <c r="W30" s="136">
        <v>2</v>
      </c>
      <c r="X30" s="135">
        <v>0</v>
      </c>
      <c r="Y30" s="135"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5">
        <v>0</v>
      </c>
      <c r="AG30" s="136" t="s">
        <v>411</v>
      </c>
      <c r="AH30" s="136" t="s">
        <v>484</v>
      </c>
    </row>
    <row r="31" spans="1:34">
      <c r="A31" s="135">
        <f>A30+1</f>
        <v>400002</v>
      </c>
      <c r="B31" s="133" t="str">
        <f>VLOOKUP(A:A,Multilingual!A:B,2,FALSE)</f>
        <v>장갑</v>
      </c>
      <c r="C31" s="133" t="s">
        <v>1382</v>
      </c>
      <c r="D31" s="135">
        <v>2</v>
      </c>
      <c r="E31" s="135">
        <v>0</v>
      </c>
      <c r="F31" s="135">
        <v>1</v>
      </c>
      <c r="G31" s="135">
        <v>0</v>
      </c>
      <c r="H31" s="135">
        <v>1</v>
      </c>
      <c r="I31" s="135">
        <f>I30</f>
        <v>8</v>
      </c>
      <c r="J31" s="136">
        <v>380</v>
      </c>
      <c r="K31" s="135">
        <f t="shared" ref="K31:K35" si="14">ROUNDDOWN(J31/10,0)</f>
        <v>38</v>
      </c>
      <c r="L31" s="135">
        <f t="shared" ref="L31:L35" si="15">IF(D31&gt;=6,5,0)</f>
        <v>0</v>
      </c>
      <c r="M31" s="135">
        <v>1</v>
      </c>
      <c r="N31" s="135">
        <f t="shared" ref="N31:N35" si="16">IF(D31&gt;=6,4,0)</f>
        <v>0</v>
      </c>
      <c r="O31" s="135">
        <v>0</v>
      </c>
      <c r="P31" s="135">
        <v>0</v>
      </c>
      <c r="Q31" s="135">
        <v>0</v>
      </c>
      <c r="R31" s="135">
        <v>0</v>
      </c>
      <c r="S31" s="135">
        <v>0</v>
      </c>
      <c r="T31" s="135">
        <v>0</v>
      </c>
      <c r="U31" s="135">
        <v>0</v>
      </c>
      <c r="V31" s="135">
        <v>0</v>
      </c>
      <c r="W31" s="136">
        <v>3</v>
      </c>
      <c r="X31" s="135">
        <v>0</v>
      </c>
      <c r="Y31" s="135"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5">
        <v>0</v>
      </c>
      <c r="AG31" s="136" t="s">
        <v>411</v>
      </c>
      <c r="AH31" s="136" t="s">
        <v>485</v>
      </c>
    </row>
    <row r="32" spans="1:34">
      <c r="A32" s="135">
        <f t="shared" ref="A32:A35" si="17">A31+1</f>
        <v>400003</v>
      </c>
      <c r="B32" s="133" t="str">
        <f>VLOOKUP(A:A,Multilingual!A:B,2,FALSE)</f>
        <v>고급 린넨 장갑</v>
      </c>
      <c r="C32" s="133" t="s">
        <v>1382</v>
      </c>
      <c r="D32" s="135">
        <v>3</v>
      </c>
      <c r="E32" s="135">
        <v>0</v>
      </c>
      <c r="F32" s="135">
        <v>1</v>
      </c>
      <c r="G32" s="135">
        <v>0</v>
      </c>
      <c r="H32" s="135">
        <v>1</v>
      </c>
      <c r="I32" s="135">
        <f t="shared" ref="I32:I35" si="18">I31</f>
        <v>8</v>
      </c>
      <c r="J32" s="136">
        <v>530</v>
      </c>
      <c r="K32" s="135">
        <f t="shared" si="14"/>
        <v>53</v>
      </c>
      <c r="L32" s="135">
        <f t="shared" si="15"/>
        <v>0</v>
      </c>
      <c r="M32" s="135">
        <v>1</v>
      </c>
      <c r="N32" s="135">
        <f t="shared" si="16"/>
        <v>0</v>
      </c>
      <c r="O32" s="135">
        <v>0</v>
      </c>
      <c r="P32" s="135">
        <v>0</v>
      </c>
      <c r="Q32" s="135">
        <v>0</v>
      </c>
      <c r="R32" s="135">
        <v>0</v>
      </c>
      <c r="S32" s="135">
        <v>0</v>
      </c>
      <c r="T32" s="135">
        <v>0</v>
      </c>
      <c r="U32" s="135">
        <v>0</v>
      </c>
      <c r="V32" s="135">
        <v>0</v>
      </c>
      <c r="W32" s="136">
        <v>3</v>
      </c>
      <c r="X32" s="135">
        <v>0</v>
      </c>
      <c r="Y32" s="135"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5">
        <v>0</v>
      </c>
      <c r="AG32" s="136" t="s">
        <v>411</v>
      </c>
      <c r="AH32" s="136" t="s">
        <v>486</v>
      </c>
    </row>
    <row r="33" spans="1:34">
      <c r="A33" s="135">
        <f t="shared" si="17"/>
        <v>400004</v>
      </c>
      <c r="B33" s="133" t="str">
        <f>VLOOKUP(A:A,Multilingual!A:B,2,FALSE)</f>
        <v>질긴 가죽 장갑</v>
      </c>
      <c r="C33" s="133" t="s">
        <v>1382</v>
      </c>
      <c r="D33" s="135">
        <v>4</v>
      </c>
      <c r="E33" s="135">
        <v>0</v>
      </c>
      <c r="F33" s="135">
        <v>1</v>
      </c>
      <c r="G33" s="135">
        <v>0</v>
      </c>
      <c r="H33" s="135">
        <v>1</v>
      </c>
      <c r="I33" s="135">
        <f t="shared" si="18"/>
        <v>8</v>
      </c>
      <c r="J33" s="136">
        <v>680</v>
      </c>
      <c r="K33" s="135">
        <f t="shared" si="14"/>
        <v>68</v>
      </c>
      <c r="L33" s="135">
        <f t="shared" si="15"/>
        <v>0</v>
      </c>
      <c r="M33" s="135">
        <v>1</v>
      </c>
      <c r="N33" s="135">
        <f t="shared" si="16"/>
        <v>0</v>
      </c>
      <c r="O33" s="135">
        <v>0</v>
      </c>
      <c r="P33" s="135">
        <v>0</v>
      </c>
      <c r="Q33" s="135">
        <v>0</v>
      </c>
      <c r="R33" s="135">
        <v>0</v>
      </c>
      <c r="S33" s="135">
        <v>0</v>
      </c>
      <c r="T33" s="135">
        <v>0</v>
      </c>
      <c r="U33" s="135">
        <v>0</v>
      </c>
      <c r="V33" s="135">
        <v>0</v>
      </c>
      <c r="W33" s="136">
        <v>4</v>
      </c>
      <c r="X33" s="135">
        <v>0</v>
      </c>
      <c r="Y33" s="135"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5">
        <v>0</v>
      </c>
      <c r="AG33" s="136" t="s">
        <v>411</v>
      </c>
      <c r="AH33" s="136" t="s">
        <v>487</v>
      </c>
    </row>
    <row r="34" spans="1:34">
      <c r="A34" s="135">
        <f t="shared" si="17"/>
        <v>400005</v>
      </c>
      <c r="B34" s="133" t="str">
        <f>VLOOKUP(A:A,Multilingual!A:B,2,FALSE)</f>
        <v>단단한 돌기</v>
      </c>
      <c r="C34" s="133" t="s">
        <v>1382</v>
      </c>
      <c r="D34" s="135">
        <v>5</v>
      </c>
      <c r="E34" s="135">
        <v>0</v>
      </c>
      <c r="F34" s="135">
        <v>1</v>
      </c>
      <c r="G34" s="135">
        <v>0</v>
      </c>
      <c r="H34" s="135">
        <v>1</v>
      </c>
      <c r="I34" s="135">
        <f t="shared" si="18"/>
        <v>8</v>
      </c>
      <c r="J34" s="136">
        <v>830</v>
      </c>
      <c r="K34" s="135">
        <f t="shared" si="14"/>
        <v>83</v>
      </c>
      <c r="L34" s="135">
        <f t="shared" si="15"/>
        <v>0</v>
      </c>
      <c r="M34" s="135">
        <v>1</v>
      </c>
      <c r="N34" s="135">
        <f t="shared" si="16"/>
        <v>0</v>
      </c>
      <c r="O34" s="135">
        <v>0</v>
      </c>
      <c r="P34" s="135">
        <v>0</v>
      </c>
      <c r="Q34" s="135">
        <v>0</v>
      </c>
      <c r="R34" s="135">
        <v>0</v>
      </c>
      <c r="S34" s="135">
        <v>0</v>
      </c>
      <c r="T34" s="135">
        <v>0</v>
      </c>
      <c r="U34" s="135">
        <v>0</v>
      </c>
      <c r="V34" s="135">
        <v>0</v>
      </c>
      <c r="W34" s="136">
        <v>5</v>
      </c>
      <c r="X34" s="135">
        <v>0</v>
      </c>
      <c r="Y34" s="135"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5">
        <v>0</v>
      </c>
      <c r="AG34" s="136" t="s">
        <v>411</v>
      </c>
      <c r="AH34" s="136" t="s">
        <v>488</v>
      </c>
    </row>
    <row r="35" spans="1:34">
      <c r="A35" s="135">
        <f t="shared" si="17"/>
        <v>400006</v>
      </c>
      <c r="B35" s="133" t="str">
        <f>VLOOKUP(A:A,Multilingual!A:B,2,FALSE)</f>
        <v>눈싸움</v>
      </c>
      <c r="C35" s="133" t="s">
        <v>1382</v>
      </c>
      <c r="D35" s="135">
        <v>6</v>
      </c>
      <c r="E35" s="135">
        <v>0</v>
      </c>
      <c r="F35" s="135">
        <v>1</v>
      </c>
      <c r="G35" s="135">
        <v>0</v>
      </c>
      <c r="H35" s="135">
        <v>1</v>
      </c>
      <c r="I35" s="135">
        <f t="shared" si="18"/>
        <v>8</v>
      </c>
      <c r="J35" s="136">
        <v>980</v>
      </c>
      <c r="K35" s="135">
        <f t="shared" si="14"/>
        <v>98</v>
      </c>
      <c r="L35" s="135">
        <f t="shared" si="15"/>
        <v>5</v>
      </c>
      <c r="M35" s="135">
        <v>1</v>
      </c>
      <c r="N35" s="135">
        <f t="shared" si="16"/>
        <v>4</v>
      </c>
      <c r="O35" s="135">
        <v>0</v>
      </c>
      <c r="P35" s="135">
        <v>0</v>
      </c>
      <c r="Q35" s="135">
        <v>0</v>
      </c>
      <c r="R35" s="135">
        <v>0</v>
      </c>
      <c r="S35" s="135">
        <v>0</v>
      </c>
      <c r="T35" s="135">
        <v>0</v>
      </c>
      <c r="U35" s="135">
        <v>0</v>
      </c>
      <c r="V35" s="135">
        <v>0</v>
      </c>
      <c r="W35" s="136">
        <v>6</v>
      </c>
      <c r="X35" s="135">
        <v>0</v>
      </c>
      <c r="Y35" s="135"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5">
        <v>0</v>
      </c>
      <c r="AG35" s="136" t="s">
        <v>411</v>
      </c>
      <c r="AH35" s="136" t="s">
        <v>489</v>
      </c>
    </row>
    <row r="36" spans="1:34" s="137" customFormat="1">
      <c r="A36" s="130" t="s">
        <v>977</v>
      </c>
    </row>
    <row r="37" spans="1:34">
      <c r="A37" s="135">
        <v>500001</v>
      </c>
      <c r="B37" s="133" t="str">
        <f>VLOOKUP(A:A,Multilingual!A:B,2,FALSE)</f>
        <v>저급 신발</v>
      </c>
      <c r="C37" s="133" t="s">
        <v>1382</v>
      </c>
      <c r="D37" s="135">
        <v>1</v>
      </c>
      <c r="E37" s="135">
        <v>0</v>
      </c>
      <c r="F37" s="135">
        <v>1</v>
      </c>
      <c r="G37" s="135">
        <v>0</v>
      </c>
      <c r="H37" s="135">
        <v>1</v>
      </c>
      <c r="I37" s="135">
        <f>I35*2</f>
        <v>16</v>
      </c>
      <c r="J37" s="136">
        <v>310</v>
      </c>
      <c r="K37" s="135">
        <f>ROUNDDOWN(J37/10,0)</f>
        <v>31</v>
      </c>
      <c r="L37" s="135">
        <f>IF(D37&gt;=6,5,0)</f>
        <v>0</v>
      </c>
      <c r="M37" s="135">
        <v>1</v>
      </c>
      <c r="N37" s="135">
        <f>IF(D37&gt;=6,4,0)</f>
        <v>0</v>
      </c>
      <c r="O37" s="135">
        <v>0</v>
      </c>
      <c r="P37" s="135">
        <v>0</v>
      </c>
      <c r="Q37" s="135">
        <v>0</v>
      </c>
      <c r="R37" s="135">
        <v>0</v>
      </c>
      <c r="S37" s="135">
        <v>0</v>
      </c>
      <c r="T37" s="135">
        <v>0</v>
      </c>
      <c r="U37" s="135">
        <v>0</v>
      </c>
      <c r="V37" s="135">
        <v>0</v>
      </c>
      <c r="W37" s="136">
        <v>2</v>
      </c>
      <c r="X37" s="135">
        <v>0</v>
      </c>
      <c r="Y37" s="135"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5">
        <v>0</v>
      </c>
      <c r="AG37" s="136" t="s">
        <v>411</v>
      </c>
      <c r="AH37" s="136" t="s">
        <v>490</v>
      </c>
    </row>
    <row r="38" spans="1:34">
      <c r="A38" s="135">
        <f>A37+1</f>
        <v>500002</v>
      </c>
      <c r="B38" s="133" t="str">
        <f>VLOOKUP(A:A,Multilingual!A:B,2,FALSE)</f>
        <v>장화</v>
      </c>
      <c r="C38" s="133" t="s">
        <v>1382</v>
      </c>
      <c r="D38" s="135">
        <v>2</v>
      </c>
      <c r="E38" s="135">
        <v>0</v>
      </c>
      <c r="F38" s="135">
        <v>1</v>
      </c>
      <c r="G38" s="135">
        <v>0</v>
      </c>
      <c r="H38" s="135">
        <v>1</v>
      </c>
      <c r="I38" s="135">
        <f>I37</f>
        <v>16</v>
      </c>
      <c r="J38" s="136">
        <v>460</v>
      </c>
      <c r="K38" s="135">
        <f t="shared" ref="K38:K42" si="19">ROUNDDOWN(J38/10,0)</f>
        <v>46</v>
      </c>
      <c r="L38" s="135">
        <f t="shared" ref="L38:L42" si="20">IF(D38&gt;=6,5,0)</f>
        <v>0</v>
      </c>
      <c r="M38" s="135">
        <v>1</v>
      </c>
      <c r="N38" s="135">
        <f t="shared" ref="N38:N42" si="21">IF(D38&gt;=6,4,0)</f>
        <v>0</v>
      </c>
      <c r="O38" s="135">
        <v>0</v>
      </c>
      <c r="P38" s="135">
        <v>0</v>
      </c>
      <c r="Q38" s="135">
        <v>0</v>
      </c>
      <c r="R38" s="135">
        <v>0</v>
      </c>
      <c r="S38" s="135">
        <v>0</v>
      </c>
      <c r="T38" s="135">
        <v>0</v>
      </c>
      <c r="U38" s="135">
        <v>0</v>
      </c>
      <c r="V38" s="135">
        <v>0</v>
      </c>
      <c r="W38" s="136">
        <v>3</v>
      </c>
      <c r="X38" s="135">
        <v>0</v>
      </c>
      <c r="Y38" s="135"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5">
        <v>0</v>
      </c>
      <c r="AG38" s="136" t="s">
        <v>411</v>
      </c>
      <c r="AH38" s="136" t="s">
        <v>491</v>
      </c>
    </row>
    <row r="39" spans="1:34">
      <c r="A39" s="135">
        <f t="shared" ref="A39:A42" si="22">A38+1</f>
        <v>500003</v>
      </c>
      <c r="B39" s="133" t="str">
        <f>VLOOKUP(A:A,Multilingual!A:B,2,FALSE)</f>
        <v>고급 장화</v>
      </c>
      <c r="C39" s="133" t="s">
        <v>1382</v>
      </c>
      <c r="D39" s="135">
        <v>3</v>
      </c>
      <c r="E39" s="135">
        <v>0</v>
      </c>
      <c r="F39" s="135">
        <v>1</v>
      </c>
      <c r="G39" s="135">
        <v>0</v>
      </c>
      <c r="H39" s="135">
        <v>1</v>
      </c>
      <c r="I39" s="135">
        <f t="shared" ref="I39:I42" si="23">I38</f>
        <v>16</v>
      </c>
      <c r="J39" s="136">
        <v>610</v>
      </c>
      <c r="K39" s="135">
        <f t="shared" si="19"/>
        <v>61</v>
      </c>
      <c r="L39" s="135">
        <f t="shared" si="20"/>
        <v>0</v>
      </c>
      <c r="M39" s="135">
        <v>1</v>
      </c>
      <c r="N39" s="135">
        <f t="shared" si="21"/>
        <v>0</v>
      </c>
      <c r="O39" s="135">
        <v>0</v>
      </c>
      <c r="P39" s="135">
        <v>0</v>
      </c>
      <c r="Q39" s="135">
        <v>0</v>
      </c>
      <c r="R39" s="135">
        <v>0</v>
      </c>
      <c r="S39" s="135">
        <v>0</v>
      </c>
      <c r="T39" s="135">
        <v>0</v>
      </c>
      <c r="U39" s="135">
        <v>0</v>
      </c>
      <c r="V39" s="135">
        <v>0</v>
      </c>
      <c r="W39" s="136">
        <v>3</v>
      </c>
      <c r="X39" s="135">
        <v>0</v>
      </c>
      <c r="Y39" s="135"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5">
        <v>0</v>
      </c>
      <c r="AG39" s="136" t="s">
        <v>411</v>
      </c>
      <c r="AH39" s="136" t="s">
        <v>492</v>
      </c>
    </row>
    <row r="40" spans="1:34">
      <c r="A40" s="135">
        <f t="shared" si="22"/>
        <v>500004</v>
      </c>
      <c r="B40" s="133" t="str">
        <f>VLOOKUP(A:A,Multilingual!A:B,2,FALSE)</f>
        <v>편안한 가죽 장화</v>
      </c>
      <c r="C40" s="133" t="s">
        <v>1382</v>
      </c>
      <c r="D40" s="135">
        <v>4</v>
      </c>
      <c r="E40" s="135">
        <v>0</v>
      </c>
      <c r="F40" s="135">
        <v>1</v>
      </c>
      <c r="G40" s="135">
        <v>0</v>
      </c>
      <c r="H40" s="135">
        <v>1</v>
      </c>
      <c r="I40" s="135">
        <f t="shared" si="23"/>
        <v>16</v>
      </c>
      <c r="J40" s="136">
        <v>760</v>
      </c>
      <c r="K40" s="135">
        <f t="shared" si="19"/>
        <v>76</v>
      </c>
      <c r="L40" s="135">
        <f t="shared" si="20"/>
        <v>0</v>
      </c>
      <c r="M40" s="135">
        <v>1</v>
      </c>
      <c r="N40" s="135">
        <f t="shared" si="21"/>
        <v>0</v>
      </c>
      <c r="O40" s="135">
        <v>0</v>
      </c>
      <c r="P40" s="135">
        <v>0</v>
      </c>
      <c r="Q40" s="135">
        <v>0</v>
      </c>
      <c r="R40" s="135">
        <v>0</v>
      </c>
      <c r="S40" s="135">
        <v>0</v>
      </c>
      <c r="T40" s="135">
        <v>0</v>
      </c>
      <c r="U40" s="135">
        <v>0</v>
      </c>
      <c r="V40" s="135">
        <v>0</v>
      </c>
      <c r="W40" s="136">
        <v>4</v>
      </c>
      <c r="X40" s="135">
        <v>0</v>
      </c>
      <c r="Y40" s="135"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5">
        <v>0</v>
      </c>
      <c r="AG40" s="136" t="s">
        <v>411</v>
      </c>
      <c r="AH40" s="136" t="s">
        <v>493</v>
      </c>
    </row>
    <row r="41" spans="1:34">
      <c r="A41" s="135">
        <f t="shared" si="22"/>
        <v>500005</v>
      </c>
      <c r="B41" s="133" t="str">
        <f>VLOOKUP(A:A,Multilingual!A:B,2,FALSE)</f>
        <v>노을지는 하늘</v>
      </c>
      <c r="C41" s="133" t="s">
        <v>1382</v>
      </c>
      <c r="D41" s="135">
        <v>5</v>
      </c>
      <c r="E41" s="135">
        <v>0</v>
      </c>
      <c r="F41" s="135">
        <v>1</v>
      </c>
      <c r="G41" s="135">
        <v>0</v>
      </c>
      <c r="H41" s="135">
        <v>1</v>
      </c>
      <c r="I41" s="135">
        <f t="shared" si="23"/>
        <v>16</v>
      </c>
      <c r="J41" s="136">
        <v>910</v>
      </c>
      <c r="K41" s="135">
        <f t="shared" si="19"/>
        <v>91</v>
      </c>
      <c r="L41" s="135">
        <f t="shared" si="20"/>
        <v>0</v>
      </c>
      <c r="M41" s="135">
        <v>1</v>
      </c>
      <c r="N41" s="135">
        <f t="shared" si="21"/>
        <v>0</v>
      </c>
      <c r="O41" s="135">
        <v>0</v>
      </c>
      <c r="P41" s="135">
        <v>0</v>
      </c>
      <c r="Q41" s="135">
        <v>0</v>
      </c>
      <c r="R41" s="135">
        <v>0</v>
      </c>
      <c r="S41" s="135">
        <v>0</v>
      </c>
      <c r="T41" s="135">
        <v>0</v>
      </c>
      <c r="U41" s="135">
        <v>0</v>
      </c>
      <c r="V41" s="135">
        <v>0</v>
      </c>
      <c r="W41" s="136">
        <v>5</v>
      </c>
      <c r="X41" s="135">
        <v>0</v>
      </c>
      <c r="Y41" s="135"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5">
        <v>0</v>
      </c>
      <c r="AG41" s="136" t="s">
        <v>411</v>
      </c>
      <c r="AH41" s="136" t="s">
        <v>494</v>
      </c>
    </row>
    <row r="42" spans="1:34">
      <c r="A42" s="135">
        <f t="shared" si="22"/>
        <v>500006</v>
      </c>
      <c r="B42" s="133" t="str">
        <f>VLOOKUP(A:A,Multilingual!A:B,2,FALSE)</f>
        <v>한량</v>
      </c>
      <c r="C42" s="133" t="s">
        <v>1382</v>
      </c>
      <c r="D42" s="135">
        <v>6</v>
      </c>
      <c r="E42" s="135">
        <v>0</v>
      </c>
      <c r="F42" s="135">
        <v>1</v>
      </c>
      <c r="G42" s="135">
        <v>0</v>
      </c>
      <c r="H42" s="135">
        <v>1</v>
      </c>
      <c r="I42" s="135">
        <f t="shared" si="23"/>
        <v>16</v>
      </c>
      <c r="J42" s="136">
        <v>1060</v>
      </c>
      <c r="K42" s="135">
        <f t="shared" si="19"/>
        <v>106</v>
      </c>
      <c r="L42" s="135">
        <f t="shared" si="20"/>
        <v>5</v>
      </c>
      <c r="M42" s="135">
        <v>1</v>
      </c>
      <c r="N42" s="135">
        <f t="shared" si="21"/>
        <v>4</v>
      </c>
      <c r="O42" s="135">
        <v>0</v>
      </c>
      <c r="P42" s="135">
        <v>0</v>
      </c>
      <c r="Q42" s="135">
        <v>0</v>
      </c>
      <c r="R42" s="135">
        <v>0</v>
      </c>
      <c r="S42" s="135">
        <v>0</v>
      </c>
      <c r="T42" s="135">
        <v>0</v>
      </c>
      <c r="U42" s="135">
        <v>0</v>
      </c>
      <c r="V42" s="135">
        <v>0</v>
      </c>
      <c r="W42" s="136">
        <v>6</v>
      </c>
      <c r="X42" s="135">
        <v>0</v>
      </c>
      <c r="Y42" s="135"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5">
        <v>0</v>
      </c>
      <c r="AG42" s="136" t="s">
        <v>411</v>
      </c>
      <c r="AH42" s="136" t="s">
        <v>495</v>
      </c>
    </row>
    <row r="43" spans="1:34" s="137" customFormat="1">
      <c r="A43" s="130" t="s">
        <v>978</v>
      </c>
    </row>
    <row r="44" spans="1:34">
      <c r="A44" s="135">
        <v>600001</v>
      </c>
      <c r="B44" s="133" t="str">
        <f>VLOOKUP(A:A,Multilingual!A:B,2,FALSE)</f>
        <v>갈라진 방패</v>
      </c>
      <c r="C44" s="133" t="s">
        <v>1382</v>
      </c>
      <c r="D44" s="135">
        <v>1</v>
      </c>
      <c r="E44" s="135">
        <v>0</v>
      </c>
      <c r="F44" s="135">
        <v>1</v>
      </c>
      <c r="G44" s="135">
        <v>0</v>
      </c>
      <c r="H44" s="135">
        <v>1</v>
      </c>
      <c r="I44" s="135">
        <f>I42*2</f>
        <v>32</v>
      </c>
      <c r="J44" s="136">
        <v>470</v>
      </c>
      <c r="K44" s="135">
        <f>ROUNDDOWN(J44/10,0)</f>
        <v>47</v>
      </c>
      <c r="L44" s="135">
        <f>IF(D44&gt;=6,5,0)</f>
        <v>0</v>
      </c>
      <c r="M44" s="135">
        <v>1</v>
      </c>
      <c r="N44" s="135">
        <f>IF(D44&gt;=6,4,0)</f>
        <v>0</v>
      </c>
      <c r="O44" s="135">
        <v>0</v>
      </c>
      <c r="P44" s="135">
        <v>0</v>
      </c>
      <c r="Q44" s="135">
        <v>0</v>
      </c>
      <c r="R44" s="135">
        <v>0</v>
      </c>
      <c r="S44" s="135">
        <v>0</v>
      </c>
      <c r="T44" s="135">
        <v>0</v>
      </c>
      <c r="U44" s="135">
        <v>0</v>
      </c>
      <c r="V44" s="135">
        <v>0</v>
      </c>
      <c r="W44" s="136">
        <v>7</v>
      </c>
      <c r="X44" s="135">
        <v>0</v>
      </c>
      <c r="Y44" s="135"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5">
        <v>0</v>
      </c>
      <c r="AG44" s="136" t="s">
        <v>411</v>
      </c>
      <c r="AH44" s="136" t="s">
        <v>612</v>
      </c>
    </row>
    <row r="45" spans="1:34">
      <c r="A45" s="135">
        <f>A44+1</f>
        <v>600002</v>
      </c>
      <c r="B45" s="133" t="str">
        <f>VLOOKUP(A:A,Multilingual!A:B,2,FALSE)</f>
        <v>나무 방패</v>
      </c>
      <c r="C45" s="133" t="s">
        <v>1382</v>
      </c>
      <c r="D45" s="135">
        <v>2</v>
      </c>
      <c r="E45" s="135">
        <v>0</v>
      </c>
      <c r="F45" s="135">
        <v>1</v>
      </c>
      <c r="G45" s="135">
        <v>0</v>
      </c>
      <c r="H45" s="135">
        <v>1</v>
      </c>
      <c r="I45" s="135">
        <f>I44</f>
        <v>32</v>
      </c>
      <c r="J45" s="136">
        <v>620</v>
      </c>
      <c r="K45" s="135">
        <f t="shared" ref="K45:K49" si="24">ROUNDDOWN(J45/10,0)</f>
        <v>62</v>
      </c>
      <c r="L45" s="135">
        <f t="shared" ref="L45:L63" si="25">IF(D45&gt;=6,5,0)</f>
        <v>0</v>
      </c>
      <c r="M45" s="135">
        <v>1</v>
      </c>
      <c r="N45" s="135">
        <f t="shared" ref="N45:N49" si="26">IF(D45&gt;=6,4,0)</f>
        <v>0</v>
      </c>
      <c r="O45" s="135">
        <v>0</v>
      </c>
      <c r="P45" s="135">
        <v>0</v>
      </c>
      <c r="Q45" s="135">
        <v>0</v>
      </c>
      <c r="R45" s="135">
        <v>0</v>
      </c>
      <c r="S45" s="135">
        <v>0</v>
      </c>
      <c r="T45" s="135">
        <v>0</v>
      </c>
      <c r="U45" s="135">
        <v>0</v>
      </c>
      <c r="V45" s="135">
        <v>0</v>
      </c>
      <c r="W45" s="136">
        <v>10</v>
      </c>
      <c r="X45" s="135">
        <v>0</v>
      </c>
      <c r="Y45" s="135"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5">
        <v>0</v>
      </c>
      <c r="AG45" s="136" t="s">
        <v>411</v>
      </c>
      <c r="AH45" s="136" t="s">
        <v>496</v>
      </c>
    </row>
    <row r="46" spans="1:34">
      <c r="A46" s="135">
        <f t="shared" ref="A46:A49" si="27">A45+1</f>
        <v>600003</v>
      </c>
      <c r="B46" s="133" t="str">
        <f>VLOOKUP(A:A,Multilingual!A:B,2,FALSE)</f>
        <v>고급 버클러</v>
      </c>
      <c r="C46" s="133" t="s">
        <v>1382</v>
      </c>
      <c r="D46" s="135">
        <v>3</v>
      </c>
      <c r="E46" s="135">
        <v>0</v>
      </c>
      <c r="F46" s="135">
        <v>1</v>
      </c>
      <c r="G46" s="135">
        <v>0</v>
      </c>
      <c r="H46" s="135">
        <v>1</v>
      </c>
      <c r="I46" s="135">
        <f t="shared" ref="I46:I49" si="28">I45</f>
        <v>32</v>
      </c>
      <c r="J46" s="136">
        <v>770</v>
      </c>
      <c r="K46" s="135">
        <f t="shared" si="24"/>
        <v>77</v>
      </c>
      <c r="L46" s="135">
        <f t="shared" si="25"/>
        <v>0</v>
      </c>
      <c r="M46" s="135">
        <v>1</v>
      </c>
      <c r="N46" s="135">
        <f t="shared" si="26"/>
        <v>0</v>
      </c>
      <c r="O46" s="135">
        <v>0</v>
      </c>
      <c r="P46" s="135">
        <v>0</v>
      </c>
      <c r="Q46" s="135">
        <v>0</v>
      </c>
      <c r="R46" s="135">
        <v>0</v>
      </c>
      <c r="S46" s="135">
        <v>0</v>
      </c>
      <c r="T46" s="135">
        <v>0</v>
      </c>
      <c r="U46" s="135">
        <v>0</v>
      </c>
      <c r="V46" s="135">
        <v>0</v>
      </c>
      <c r="W46" s="136">
        <v>12</v>
      </c>
      <c r="X46" s="135">
        <v>0</v>
      </c>
      <c r="Y46" s="135"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5">
        <v>0</v>
      </c>
      <c r="AG46" s="136" t="s">
        <v>411</v>
      </c>
      <c r="AH46" s="136" t="s">
        <v>497</v>
      </c>
    </row>
    <row r="47" spans="1:34">
      <c r="A47" s="135">
        <f t="shared" si="27"/>
        <v>600004</v>
      </c>
      <c r="B47" s="133" t="str">
        <f>VLOOKUP(A:A,Multilingual!A:B,2,FALSE)</f>
        <v>빛나는 사각 방패</v>
      </c>
      <c r="C47" s="133" t="s">
        <v>1382</v>
      </c>
      <c r="D47" s="135">
        <v>4</v>
      </c>
      <c r="E47" s="135">
        <v>0</v>
      </c>
      <c r="F47" s="135">
        <v>1</v>
      </c>
      <c r="G47" s="135">
        <v>0</v>
      </c>
      <c r="H47" s="135">
        <v>1</v>
      </c>
      <c r="I47" s="135">
        <f t="shared" si="28"/>
        <v>32</v>
      </c>
      <c r="J47" s="136">
        <v>920</v>
      </c>
      <c r="K47" s="135">
        <f t="shared" si="24"/>
        <v>92</v>
      </c>
      <c r="L47" s="135">
        <f t="shared" si="25"/>
        <v>0</v>
      </c>
      <c r="M47" s="135">
        <v>1</v>
      </c>
      <c r="N47" s="135">
        <f t="shared" si="26"/>
        <v>0</v>
      </c>
      <c r="O47" s="135">
        <v>0</v>
      </c>
      <c r="P47" s="135">
        <v>0</v>
      </c>
      <c r="Q47" s="135">
        <v>0</v>
      </c>
      <c r="R47" s="135">
        <v>0</v>
      </c>
      <c r="S47" s="135">
        <v>0</v>
      </c>
      <c r="T47" s="135">
        <v>0</v>
      </c>
      <c r="U47" s="135">
        <v>0</v>
      </c>
      <c r="V47" s="135">
        <v>0</v>
      </c>
      <c r="W47" s="136">
        <v>14</v>
      </c>
      <c r="X47" s="135">
        <v>0</v>
      </c>
      <c r="Y47" s="135"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5">
        <v>0</v>
      </c>
      <c r="AG47" s="136" t="s">
        <v>411</v>
      </c>
      <c r="AH47" s="136" t="s">
        <v>498</v>
      </c>
    </row>
    <row r="48" spans="1:34">
      <c r="A48" s="135">
        <f t="shared" si="27"/>
        <v>600005</v>
      </c>
      <c r="B48" s="133" t="str">
        <f>VLOOKUP(A:A,Multilingual!A:B,2,FALSE)</f>
        <v>철벽방어</v>
      </c>
      <c r="C48" s="133" t="s">
        <v>1382</v>
      </c>
      <c r="D48" s="135">
        <v>5</v>
      </c>
      <c r="E48" s="135">
        <v>0</v>
      </c>
      <c r="F48" s="135">
        <v>1</v>
      </c>
      <c r="G48" s="135">
        <v>0</v>
      </c>
      <c r="H48" s="135">
        <v>1</v>
      </c>
      <c r="I48" s="135">
        <f t="shared" si="28"/>
        <v>32</v>
      </c>
      <c r="J48" s="136">
        <v>1070</v>
      </c>
      <c r="K48" s="135">
        <f t="shared" si="24"/>
        <v>107</v>
      </c>
      <c r="L48" s="135">
        <f t="shared" si="25"/>
        <v>0</v>
      </c>
      <c r="M48" s="135">
        <v>1</v>
      </c>
      <c r="N48" s="135">
        <f t="shared" si="26"/>
        <v>0</v>
      </c>
      <c r="O48" s="135">
        <v>0</v>
      </c>
      <c r="P48" s="135">
        <v>0</v>
      </c>
      <c r="Q48" s="135">
        <v>0</v>
      </c>
      <c r="R48" s="135">
        <v>0</v>
      </c>
      <c r="S48" s="135">
        <v>0</v>
      </c>
      <c r="T48" s="135">
        <v>0</v>
      </c>
      <c r="U48" s="135">
        <v>0</v>
      </c>
      <c r="V48" s="135">
        <v>0</v>
      </c>
      <c r="W48" s="136">
        <v>17</v>
      </c>
      <c r="X48" s="135">
        <v>0</v>
      </c>
      <c r="Y48" s="135"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5">
        <v>0</v>
      </c>
      <c r="AG48" s="136" t="s">
        <v>411</v>
      </c>
      <c r="AH48" s="136" t="s">
        <v>499</v>
      </c>
    </row>
    <row r="49" spans="1:34">
      <c r="A49" s="135">
        <f t="shared" si="27"/>
        <v>600006</v>
      </c>
      <c r="B49" s="133" t="str">
        <f>VLOOKUP(A:A,Multilingual!A:B,2,FALSE)</f>
        <v>거절</v>
      </c>
      <c r="C49" s="133" t="s">
        <v>1382</v>
      </c>
      <c r="D49" s="135">
        <v>6</v>
      </c>
      <c r="E49" s="135">
        <v>0</v>
      </c>
      <c r="F49" s="135">
        <v>1</v>
      </c>
      <c r="G49" s="135">
        <v>0</v>
      </c>
      <c r="H49" s="135">
        <v>1</v>
      </c>
      <c r="I49" s="135">
        <f t="shared" si="28"/>
        <v>32</v>
      </c>
      <c r="J49" s="136">
        <v>1220</v>
      </c>
      <c r="K49" s="135">
        <f t="shared" si="24"/>
        <v>122</v>
      </c>
      <c r="L49" s="135">
        <f t="shared" si="25"/>
        <v>5</v>
      </c>
      <c r="M49" s="135">
        <v>1</v>
      </c>
      <c r="N49" s="135">
        <f t="shared" si="26"/>
        <v>4</v>
      </c>
      <c r="O49" s="135">
        <v>0</v>
      </c>
      <c r="P49" s="135">
        <v>0</v>
      </c>
      <c r="Q49" s="135">
        <v>0</v>
      </c>
      <c r="R49" s="135">
        <v>0</v>
      </c>
      <c r="S49" s="135">
        <v>0</v>
      </c>
      <c r="T49" s="135">
        <v>0</v>
      </c>
      <c r="U49" s="135">
        <v>0</v>
      </c>
      <c r="V49" s="135">
        <v>0</v>
      </c>
      <c r="W49" s="136">
        <v>21</v>
      </c>
      <c r="X49" s="135">
        <v>0</v>
      </c>
      <c r="Y49" s="135"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5">
        <v>0</v>
      </c>
      <c r="AG49" s="136" t="s">
        <v>411</v>
      </c>
      <c r="AH49" s="136" t="s">
        <v>500</v>
      </c>
    </row>
    <row r="50" spans="1:34" s="137" customFormat="1">
      <c r="A50" s="130" t="s">
        <v>979</v>
      </c>
    </row>
    <row r="51" spans="1:34">
      <c r="A51" s="135">
        <v>700001</v>
      </c>
      <c r="B51" s="133" t="str">
        <f>VLOOKUP(A:A,Multilingual!A:B,2,FALSE)</f>
        <v>질 낮은 검</v>
      </c>
      <c r="C51" s="133" t="s">
        <v>1381</v>
      </c>
      <c r="D51" s="136">
        <v>1</v>
      </c>
      <c r="E51" s="135">
        <v>0</v>
      </c>
      <c r="F51" s="135">
        <v>1</v>
      </c>
      <c r="G51" s="135">
        <v>0</v>
      </c>
      <c r="H51" s="135">
        <v>1</v>
      </c>
      <c r="I51" s="135">
        <f>I49*2</f>
        <v>64</v>
      </c>
      <c r="J51" s="136">
        <v>790</v>
      </c>
      <c r="K51" s="135">
        <f>ROUNDDOWN(J51/10,0)</f>
        <v>79</v>
      </c>
      <c r="L51" s="135">
        <f t="shared" si="25"/>
        <v>0</v>
      </c>
      <c r="M51" s="135">
        <v>1</v>
      </c>
      <c r="N51" s="135">
        <f>IF(D51&gt;=6,4,0)</f>
        <v>0</v>
      </c>
      <c r="O51" s="135">
        <v>0</v>
      </c>
      <c r="P51" s="136">
        <v>5500</v>
      </c>
      <c r="Q51" s="136">
        <v>297</v>
      </c>
      <c r="R51" s="136">
        <v>0</v>
      </c>
      <c r="S51" s="136">
        <v>0</v>
      </c>
      <c r="T51" s="136">
        <v>0</v>
      </c>
      <c r="U51" s="136">
        <v>0</v>
      </c>
      <c r="V51" s="136">
        <v>0</v>
      </c>
      <c r="W51" s="136">
        <v>0</v>
      </c>
      <c r="X51" s="136">
        <v>0</v>
      </c>
      <c r="Y51" s="136">
        <v>0</v>
      </c>
      <c r="Z51" s="136">
        <v>0</v>
      </c>
      <c r="AA51" s="136">
        <v>0</v>
      </c>
      <c r="AB51" s="136">
        <v>0</v>
      </c>
      <c r="AC51" s="136">
        <v>0</v>
      </c>
      <c r="AD51" s="136">
        <v>0</v>
      </c>
      <c r="AE51" s="136">
        <v>0</v>
      </c>
      <c r="AF51" s="136">
        <v>0</v>
      </c>
      <c r="AG51" s="136" t="s">
        <v>411</v>
      </c>
      <c r="AH51" s="136" t="s">
        <v>501</v>
      </c>
    </row>
    <row r="52" spans="1:34">
      <c r="A52" s="135">
        <f>A51+1</f>
        <v>700002</v>
      </c>
      <c r="B52" s="133" t="str">
        <f>VLOOKUP(A:A,Multilingual!A:B,2,FALSE)</f>
        <v>장검</v>
      </c>
      <c r="C52" s="133" t="s">
        <v>1381</v>
      </c>
      <c r="D52" s="136">
        <v>2</v>
      </c>
      <c r="E52" s="135">
        <v>0</v>
      </c>
      <c r="F52" s="135">
        <v>1</v>
      </c>
      <c r="G52" s="135">
        <v>0</v>
      </c>
      <c r="H52" s="135">
        <v>1</v>
      </c>
      <c r="I52" s="135">
        <f>I51</f>
        <v>64</v>
      </c>
      <c r="J52" s="136">
        <v>940</v>
      </c>
      <c r="K52" s="135">
        <f t="shared" ref="K52:K63" si="29">ROUNDDOWN(J52/10,0)</f>
        <v>94</v>
      </c>
      <c r="L52" s="135">
        <f t="shared" si="25"/>
        <v>0</v>
      </c>
      <c r="M52" s="135">
        <v>1</v>
      </c>
      <c r="N52" s="135">
        <f t="shared" ref="N52:N63" si="30">IF(D52&gt;=6,4,0)</f>
        <v>0</v>
      </c>
      <c r="O52" s="135">
        <v>0</v>
      </c>
      <c r="P52" s="136">
        <v>5500</v>
      </c>
      <c r="Q52" s="136">
        <v>350</v>
      </c>
      <c r="R52" s="136">
        <v>0</v>
      </c>
      <c r="S52" s="136">
        <v>0</v>
      </c>
      <c r="T52" s="136">
        <v>0</v>
      </c>
      <c r="U52" s="136">
        <v>0</v>
      </c>
      <c r="V52" s="136">
        <v>0</v>
      </c>
      <c r="W52" s="136">
        <v>0</v>
      </c>
      <c r="X52" s="136">
        <v>0</v>
      </c>
      <c r="Y52" s="136">
        <v>0</v>
      </c>
      <c r="Z52" s="136">
        <v>0</v>
      </c>
      <c r="AA52" s="136">
        <v>0</v>
      </c>
      <c r="AB52" s="136">
        <v>0</v>
      </c>
      <c r="AC52" s="136">
        <v>0</v>
      </c>
      <c r="AD52" s="136">
        <v>0</v>
      </c>
      <c r="AE52" s="136">
        <v>0</v>
      </c>
      <c r="AF52" s="136">
        <v>0</v>
      </c>
      <c r="AG52" s="136" t="s">
        <v>411</v>
      </c>
      <c r="AH52" s="136" t="s">
        <v>502</v>
      </c>
    </row>
    <row r="53" spans="1:34">
      <c r="A53" s="135">
        <f t="shared" ref="A53:A63" si="31">A52+1</f>
        <v>700003</v>
      </c>
      <c r="B53" s="133" t="str">
        <f>VLOOKUP(A:A,Multilingual!A:B,2,FALSE)</f>
        <v>고급 장검</v>
      </c>
      <c r="C53" s="133" t="s">
        <v>1381</v>
      </c>
      <c r="D53" s="136">
        <v>3</v>
      </c>
      <c r="E53" s="135">
        <v>0</v>
      </c>
      <c r="F53" s="135">
        <v>1</v>
      </c>
      <c r="G53" s="135">
        <v>0</v>
      </c>
      <c r="H53" s="135">
        <v>1</v>
      </c>
      <c r="I53" s="135">
        <f t="shared" ref="I53:I63" si="32">I52</f>
        <v>64</v>
      </c>
      <c r="J53" s="136">
        <v>1090</v>
      </c>
      <c r="K53" s="135">
        <f t="shared" si="29"/>
        <v>109</v>
      </c>
      <c r="L53" s="135">
        <f t="shared" si="25"/>
        <v>0</v>
      </c>
      <c r="M53" s="135">
        <v>1</v>
      </c>
      <c r="N53" s="135">
        <f t="shared" si="30"/>
        <v>0</v>
      </c>
      <c r="O53" s="135">
        <v>0</v>
      </c>
      <c r="P53" s="136">
        <v>5500</v>
      </c>
      <c r="Q53" s="136">
        <v>402</v>
      </c>
      <c r="R53" s="136">
        <v>0</v>
      </c>
      <c r="S53" s="136">
        <v>0</v>
      </c>
      <c r="T53" s="136">
        <v>0</v>
      </c>
      <c r="U53" s="136">
        <v>0</v>
      </c>
      <c r="V53" s="136">
        <v>0</v>
      </c>
      <c r="W53" s="136">
        <v>0</v>
      </c>
      <c r="X53" s="136">
        <v>0</v>
      </c>
      <c r="Y53" s="136">
        <v>0</v>
      </c>
      <c r="Z53" s="136">
        <v>0</v>
      </c>
      <c r="AA53" s="136">
        <v>0</v>
      </c>
      <c r="AB53" s="136">
        <v>0</v>
      </c>
      <c r="AC53" s="136">
        <v>0</v>
      </c>
      <c r="AD53" s="136">
        <v>0</v>
      </c>
      <c r="AE53" s="136">
        <v>0</v>
      </c>
      <c r="AF53" s="136">
        <v>0</v>
      </c>
      <c r="AG53" s="136" t="s">
        <v>411</v>
      </c>
      <c r="AH53" s="136" t="s">
        <v>503</v>
      </c>
    </row>
    <row r="54" spans="1:34">
      <c r="A54" s="135">
        <f t="shared" si="31"/>
        <v>700004</v>
      </c>
      <c r="B54" s="133" t="str">
        <f>VLOOKUP(A:A,Multilingual!A:B,2,FALSE)</f>
        <v>빛나는 장검</v>
      </c>
      <c r="C54" s="133" t="s">
        <v>1381</v>
      </c>
      <c r="D54" s="136">
        <v>4</v>
      </c>
      <c r="E54" s="135">
        <v>0</v>
      </c>
      <c r="F54" s="135">
        <v>1</v>
      </c>
      <c r="G54" s="135">
        <v>0</v>
      </c>
      <c r="H54" s="135">
        <v>1</v>
      </c>
      <c r="I54" s="135">
        <f t="shared" si="32"/>
        <v>64</v>
      </c>
      <c r="J54" s="136">
        <v>1240</v>
      </c>
      <c r="K54" s="135">
        <f t="shared" si="29"/>
        <v>124</v>
      </c>
      <c r="L54" s="135">
        <f t="shared" si="25"/>
        <v>0</v>
      </c>
      <c r="M54" s="135">
        <v>1</v>
      </c>
      <c r="N54" s="135">
        <f t="shared" si="30"/>
        <v>0</v>
      </c>
      <c r="O54" s="135">
        <v>0</v>
      </c>
      <c r="P54" s="136">
        <v>6000</v>
      </c>
      <c r="Q54" s="136">
        <v>402</v>
      </c>
      <c r="R54" s="136">
        <v>0</v>
      </c>
      <c r="S54" s="136">
        <v>0</v>
      </c>
      <c r="T54" s="136">
        <v>0</v>
      </c>
      <c r="U54" s="136">
        <v>40</v>
      </c>
      <c r="V54" s="136">
        <v>0</v>
      </c>
      <c r="W54" s="136">
        <v>0</v>
      </c>
      <c r="X54" s="136">
        <v>0</v>
      </c>
      <c r="Y54" s="136">
        <v>0</v>
      </c>
      <c r="Z54" s="136">
        <v>0</v>
      </c>
      <c r="AA54" s="136">
        <v>0</v>
      </c>
      <c r="AB54" s="136">
        <v>0</v>
      </c>
      <c r="AC54" s="136">
        <v>0</v>
      </c>
      <c r="AD54" s="136">
        <v>0</v>
      </c>
      <c r="AE54" s="136">
        <v>0</v>
      </c>
      <c r="AF54" s="136">
        <v>0</v>
      </c>
      <c r="AG54" s="136" t="s">
        <v>411</v>
      </c>
      <c r="AH54" s="136" t="s">
        <v>504</v>
      </c>
    </row>
    <row r="55" spans="1:34">
      <c r="A55" s="135">
        <f t="shared" si="31"/>
        <v>700005</v>
      </c>
      <c r="B55" s="133" t="str">
        <f>VLOOKUP(A:A,Multilingual!A:B,2,FALSE)</f>
        <v>음침한 장검</v>
      </c>
      <c r="C55" s="133" t="s">
        <v>1381</v>
      </c>
      <c r="D55" s="136">
        <v>4</v>
      </c>
      <c r="E55" s="135">
        <v>0</v>
      </c>
      <c r="F55" s="135">
        <v>1</v>
      </c>
      <c r="G55" s="135">
        <v>0</v>
      </c>
      <c r="H55" s="135">
        <v>1</v>
      </c>
      <c r="I55" s="135">
        <f t="shared" si="32"/>
        <v>64</v>
      </c>
      <c r="J55" s="136">
        <v>1240</v>
      </c>
      <c r="K55" s="135">
        <f t="shared" si="29"/>
        <v>124</v>
      </c>
      <c r="L55" s="135">
        <f t="shared" si="25"/>
        <v>0</v>
      </c>
      <c r="M55" s="135">
        <v>1</v>
      </c>
      <c r="N55" s="135">
        <f t="shared" si="30"/>
        <v>0</v>
      </c>
      <c r="O55" s="135">
        <v>0</v>
      </c>
      <c r="P55" s="136">
        <v>6000</v>
      </c>
      <c r="Q55" s="136">
        <v>402</v>
      </c>
      <c r="R55" s="136">
        <v>0</v>
      </c>
      <c r="S55" s="136">
        <v>0</v>
      </c>
      <c r="T55" s="136">
        <v>0</v>
      </c>
      <c r="U55" s="136">
        <v>0</v>
      </c>
      <c r="V55" s="136">
        <v>40</v>
      </c>
      <c r="W55" s="136">
        <v>0</v>
      </c>
      <c r="X55" s="136">
        <v>0</v>
      </c>
      <c r="Y55" s="136">
        <v>0</v>
      </c>
      <c r="Z55" s="136">
        <v>0</v>
      </c>
      <c r="AA55" s="136">
        <v>0</v>
      </c>
      <c r="AB55" s="136">
        <v>0</v>
      </c>
      <c r="AC55" s="136">
        <v>0</v>
      </c>
      <c r="AD55" s="136">
        <v>0</v>
      </c>
      <c r="AE55" s="136">
        <v>0</v>
      </c>
      <c r="AF55" s="136">
        <v>0</v>
      </c>
      <c r="AG55" s="136" t="s">
        <v>411</v>
      </c>
      <c r="AH55" s="136" t="s">
        <v>505</v>
      </c>
    </row>
    <row r="56" spans="1:34">
      <c r="A56" s="135">
        <f t="shared" si="31"/>
        <v>700006</v>
      </c>
      <c r="B56" s="133" t="str">
        <f>VLOOKUP(A:A,Multilingual!A:B,2,FALSE)</f>
        <v>향긋한 장검</v>
      </c>
      <c r="C56" s="133" t="s">
        <v>1381</v>
      </c>
      <c r="D56" s="136">
        <v>4</v>
      </c>
      <c r="E56" s="135">
        <v>0</v>
      </c>
      <c r="F56" s="135">
        <v>1</v>
      </c>
      <c r="G56" s="135">
        <v>0</v>
      </c>
      <c r="H56" s="135">
        <v>1</v>
      </c>
      <c r="I56" s="135">
        <f t="shared" si="32"/>
        <v>64</v>
      </c>
      <c r="J56" s="136">
        <v>1240</v>
      </c>
      <c r="K56" s="135">
        <f t="shared" si="29"/>
        <v>124</v>
      </c>
      <c r="L56" s="135">
        <f t="shared" si="25"/>
        <v>0</v>
      </c>
      <c r="M56" s="135">
        <v>1</v>
      </c>
      <c r="N56" s="135">
        <f t="shared" si="30"/>
        <v>0</v>
      </c>
      <c r="O56" s="135">
        <v>0</v>
      </c>
      <c r="P56" s="136">
        <v>6000</v>
      </c>
      <c r="Q56" s="136">
        <v>402</v>
      </c>
      <c r="R56" s="136">
        <v>0</v>
      </c>
      <c r="S56" s="136">
        <v>0</v>
      </c>
      <c r="T56" s="136">
        <v>40</v>
      </c>
      <c r="U56" s="136">
        <v>0</v>
      </c>
      <c r="V56" s="136">
        <v>0</v>
      </c>
      <c r="W56" s="136">
        <v>0</v>
      </c>
      <c r="X56" s="136">
        <v>0</v>
      </c>
      <c r="Y56" s="136">
        <v>0</v>
      </c>
      <c r="Z56" s="136">
        <v>0</v>
      </c>
      <c r="AA56" s="136">
        <v>0</v>
      </c>
      <c r="AB56" s="136">
        <v>0</v>
      </c>
      <c r="AC56" s="136">
        <v>0</v>
      </c>
      <c r="AD56" s="136">
        <v>0</v>
      </c>
      <c r="AE56" s="136">
        <v>0</v>
      </c>
      <c r="AF56" s="136">
        <v>0</v>
      </c>
      <c r="AG56" s="136" t="s">
        <v>411</v>
      </c>
      <c r="AH56" s="136" t="s">
        <v>506</v>
      </c>
    </row>
    <row r="57" spans="1:34">
      <c r="A57" s="135">
        <f t="shared" si="31"/>
        <v>700007</v>
      </c>
      <c r="B57" s="133" t="str">
        <f>VLOOKUP(A:A,Multilingual!A:B,2,FALSE)</f>
        <v>지나간 추억</v>
      </c>
      <c r="C57" s="133" t="s">
        <v>1381</v>
      </c>
      <c r="D57" s="136">
        <v>5</v>
      </c>
      <c r="E57" s="135">
        <v>0</v>
      </c>
      <c r="F57" s="135">
        <v>1</v>
      </c>
      <c r="G57" s="135">
        <v>0</v>
      </c>
      <c r="H57" s="135">
        <v>1</v>
      </c>
      <c r="I57" s="135">
        <f t="shared" si="32"/>
        <v>64</v>
      </c>
      <c r="J57" s="136">
        <v>1390</v>
      </c>
      <c r="K57" s="135">
        <f t="shared" si="29"/>
        <v>139</v>
      </c>
      <c r="L57" s="135">
        <f t="shared" si="25"/>
        <v>0</v>
      </c>
      <c r="M57" s="135">
        <v>1</v>
      </c>
      <c r="N57" s="135">
        <f t="shared" si="30"/>
        <v>0</v>
      </c>
      <c r="O57" s="135">
        <v>0</v>
      </c>
      <c r="P57" s="136">
        <v>7000</v>
      </c>
      <c r="Q57" s="136">
        <v>455</v>
      </c>
      <c r="R57" s="136">
        <v>68</v>
      </c>
      <c r="S57" s="136">
        <v>68</v>
      </c>
      <c r="T57" s="136">
        <v>0</v>
      </c>
      <c r="U57" s="136">
        <v>0</v>
      </c>
      <c r="V57" s="136">
        <v>0</v>
      </c>
      <c r="W57" s="136">
        <v>0</v>
      </c>
      <c r="X57" s="136">
        <v>0</v>
      </c>
      <c r="Y57" s="136">
        <v>0</v>
      </c>
      <c r="Z57" s="136">
        <v>0</v>
      </c>
      <c r="AA57" s="136">
        <v>0</v>
      </c>
      <c r="AB57" s="136">
        <v>0</v>
      </c>
      <c r="AC57" s="136">
        <v>0</v>
      </c>
      <c r="AD57" s="136">
        <v>0</v>
      </c>
      <c r="AE57" s="136">
        <v>0</v>
      </c>
      <c r="AF57" s="136">
        <v>0</v>
      </c>
      <c r="AG57" s="136" t="s">
        <v>411</v>
      </c>
      <c r="AH57" s="136" t="s">
        <v>507</v>
      </c>
    </row>
    <row r="58" spans="1:34">
      <c r="A58" s="135">
        <f t="shared" si="31"/>
        <v>700008</v>
      </c>
      <c r="B58" s="133" t="str">
        <f>VLOOKUP(A:A,Multilingual!A:B,2,FALSE)</f>
        <v>부서진 모루</v>
      </c>
      <c r="C58" s="133" t="s">
        <v>1381</v>
      </c>
      <c r="D58" s="136">
        <v>5</v>
      </c>
      <c r="E58" s="135">
        <v>0</v>
      </c>
      <c r="F58" s="135">
        <v>1</v>
      </c>
      <c r="G58" s="135">
        <v>0</v>
      </c>
      <c r="H58" s="135">
        <v>1</v>
      </c>
      <c r="I58" s="135">
        <f t="shared" si="32"/>
        <v>64</v>
      </c>
      <c r="J58" s="136">
        <v>1390</v>
      </c>
      <c r="K58" s="135">
        <f t="shared" si="29"/>
        <v>139</v>
      </c>
      <c r="L58" s="135">
        <f t="shared" si="25"/>
        <v>0</v>
      </c>
      <c r="M58" s="135">
        <v>1</v>
      </c>
      <c r="N58" s="135">
        <f t="shared" si="30"/>
        <v>0</v>
      </c>
      <c r="O58" s="135">
        <v>0</v>
      </c>
      <c r="P58" s="136">
        <v>7000</v>
      </c>
      <c r="Q58" s="136">
        <v>455</v>
      </c>
      <c r="R58" s="136">
        <v>0</v>
      </c>
      <c r="S58" s="136">
        <v>68</v>
      </c>
      <c r="T58" s="136">
        <v>68</v>
      </c>
      <c r="U58" s="136">
        <v>0</v>
      </c>
      <c r="V58" s="136">
        <v>0</v>
      </c>
      <c r="W58" s="136">
        <v>0</v>
      </c>
      <c r="X58" s="136">
        <v>0</v>
      </c>
      <c r="Y58" s="136">
        <v>0</v>
      </c>
      <c r="Z58" s="136">
        <v>0</v>
      </c>
      <c r="AA58" s="136">
        <v>0</v>
      </c>
      <c r="AB58" s="136">
        <v>0</v>
      </c>
      <c r="AC58" s="136">
        <v>0</v>
      </c>
      <c r="AD58" s="136">
        <v>0</v>
      </c>
      <c r="AE58" s="136">
        <v>0</v>
      </c>
      <c r="AF58" s="136">
        <v>0</v>
      </c>
      <c r="AG58" s="136" t="s">
        <v>411</v>
      </c>
      <c r="AH58" s="136" t="s">
        <v>508</v>
      </c>
    </row>
    <row r="59" spans="1:34">
      <c r="A59" s="135">
        <f t="shared" si="31"/>
        <v>700009</v>
      </c>
      <c r="B59" s="133" t="str">
        <f>VLOOKUP(A:A,Multilingual!A:B,2,FALSE)</f>
        <v>버려진 음모</v>
      </c>
      <c r="C59" s="133" t="s">
        <v>1381</v>
      </c>
      <c r="D59" s="136">
        <v>5</v>
      </c>
      <c r="E59" s="135">
        <v>0</v>
      </c>
      <c r="F59" s="135">
        <v>1</v>
      </c>
      <c r="G59" s="135">
        <v>0</v>
      </c>
      <c r="H59" s="135">
        <v>1</v>
      </c>
      <c r="I59" s="135">
        <f t="shared" si="32"/>
        <v>64</v>
      </c>
      <c r="J59" s="136">
        <v>1390</v>
      </c>
      <c r="K59" s="135">
        <f t="shared" si="29"/>
        <v>139</v>
      </c>
      <c r="L59" s="135">
        <f t="shared" si="25"/>
        <v>0</v>
      </c>
      <c r="M59" s="135">
        <v>1</v>
      </c>
      <c r="N59" s="135">
        <f t="shared" si="30"/>
        <v>0</v>
      </c>
      <c r="O59" s="135">
        <v>0</v>
      </c>
      <c r="P59" s="136">
        <v>7000</v>
      </c>
      <c r="Q59" s="136">
        <v>455</v>
      </c>
      <c r="R59" s="136">
        <v>0</v>
      </c>
      <c r="S59" s="136">
        <v>0</v>
      </c>
      <c r="T59" s="136">
        <v>68</v>
      </c>
      <c r="U59" s="136">
        <v>68</v>
      </c>
      <c r="V59" s="136">
        <v>0</v>
      </c>
      <c r="W59" s="136">
        <v>0</v>
      </c>
      <c r="X59" s="136">
        <v>0</v>
      </c>
      <c r="Y59" s="136">
        <v>0</v>
      </c>
      <c r="Z59" s="136">
        <v>0</v>
      </c>
      <c r="AA59" s="136">
        <v>0</v>
      </c>
      <c r="AB59" s="136">
        <v>0</v>
      </c>
      <c r="AC59" s="136">
        <v>0</v>
      </c>
      <c r="AD59" s="136">
        <v>0</v>
      </c>
      <c r="AE59" s="136">
        <v>0</v>
      </c>
      <c r="AF59" s="136">
        <v>0</v>
      </c>
      <c r="AG59" s="136" t="s">
        <v>411</v>
      </c>
      <c r="AH59" s="136" t="s">
        <v>509</v>
      </c>
    </row>
    <row r="60" spans="1:34">
      <c r="A60" s="135">
        <f t="shared" si="31"/>
        <v>700010</v>
      </c>
      <c r="B60" s="133" t="str">
        <f>VLOOKUP(A:A,Multilingual!A:B,2,FALSE)</f>
        <v>날아간 기쁨</v>
      </c>
      <c r="C60" s="133" t="s">
        <v>1381</v>
      </c>
      <c r="D60" s="136">
        <v>5</v>
      </c>
      <c r="E60" s="135">
        <v>0</v>
      </c>
      <c r="F60" s="135">
        <v>1</v>
      </c>
      <c r="G60" s="135">
        <v>0</v>
      </c>
      <c r="H60" s="135">
        <v>1</v>
      </c>
      <c r="I60" s="135">
        <f t="shared" si="32"/>
        <v>64</v>
      </c>
      <c r="J60" s="136">
        <v>1390</v>
      </c>
      <c r="K60" s="135">
        <f t="shared" si="29"/>
        <v>139</v>
      </c>
      <c r="L60" s="135">
        <f t="shared" si="25"/>
        <v>0</v>
      </c>
      <c r="M60" s="135">
        <v>1</v>
      </c>
      <c r="N60" s="135">
        <f t="shared" si="30"/>
        <v>0</v>
      </c>
      <c r="O60" s="135">
        <v>0</v>
      </c>
      <c r="P60" s="136">
        <v>7000</v>
      </c>
      <c r="Q60" s="136">
        <v>455</v>
      </c>
      <c r="R60" s="136">
        <v>0</v>
      </c>
      <c r="S60" s="136">
        <v>0</v>
      </c>
      <c r="T60" s="136">
        <v>0</v>
      </c>
      <c r="U60" s="136">
        <v>68</v>
      </c>
      <c r="V60" s="136">
        <v>68</v>
      </c>
      <c r="W60" s="136">
        <v>0</v>
      </c>
      <c r="X60" s="136">
        <v>0</v>
      </c>
      <c r="Y60" s="136">
        <v>0</v>
      </c>
      <c r="Z60" s="136">
        <v>0</v>
      </c>
      <c r="AA60" s="136">
        <v>0</v>
      </c>
      <c r="AB60" s="136">
        <v>0</v>
      </c>
      <c r="AC60" s="136">
        <v>0</v>
      </c>
      <c r="AD60" s="136">
        <v>0</v>
      </c>
      <c r="AE60" s="136">
        <v>0</v>
      </c>
      <c r="AF60" s="136">
        <v>0</v>
      </c>
      <c r="AG60" s="136" t="s">
        <v>411</v>
      </c>
      <c r="AH60" s="136" t="s">
        <v>510</v>
      </c>
    </row>
    <row r="61" spans="1:34">
      <c r="A61" s="135">
        <f t="shared" si="31"/>
        <v>700011</v>
      </c>
      <c r="B61" s="133" t="str">
        <f>VLOOKUP(A:A,Multilingual!A:B,2,FALSE)</f>
        <v>깨끗한 슬픔</v>
      </c>
      <c r="C61" s="133" t="s">
        <v>1381</v>
      </c>
      <c r="D61" s="136">
        <v>5</v>
      </c>
      <c r="E61" s="135">
        <v>0</v>
      </c>
      <c r="F61" s="135">
        <v>1</v>
      </c>
      <c r="G61" s="135">
        <v>0</v>
      </c>
      <c r="H61" s="135">
        <v>1</v>
      </c>
      <c r="I61" s="135">
        <f t="shared" si="32"/>
        <v>64</v>
      </c>
      <c r="J61" s="136">
        <v>1390</v>
      </c>
      <c r="K61" s="135">
        <f t="shared" si="29"/>
        <v>139</v>
      </c>
      <c r="L61" s="135">
        <f t="shared" si="25"/>
        <v>0</v>
      </c>
      <c r="M61" s="135">
        <v>1</v>
      </c>
      <c r="N61" s="135">
        <f t="shared" si="30"/>
        <v>0</v>
      </c>
      <c r="O61" s="135">
        <v>0</v>
      </c>
      <c r="P61" s="136">
        <v>7000</v>
      </c>
      <c r="Q61" s="136">
        <v>455</v>
      </c>
      <c r="R61" s="136">
        <v>68</v>
      </c>
      <c r="S61" s="136">
        <v>0</v>
      </c>
      <c r="T61" s="136">
        <v>0</v>
      </c>
      <c r="U61" s="136">
        <v>0</v>
      </c>
      <c r="V61" s="136">
        <v>68</v>
      </c>
      <c r="W61" s="136">
        <v>0</v>
      </c>
      <c r="X61" s="136">
        <v>0</v>
      </c>
      <c r="Y61" s="136">
        <v>0</v>
      </c>
      <c r="Z61" s="136">
        <v>0</v>
      </c>
      <c r="AA61" s="136">
        <v>0</v>
      </c>
      <c r="AB61" s="136">
        <v>0</v>
      </c>
      <c r="AC61" s="136">
        <v>0</v>
      </c>
      <c r="AD61" s="136">
        <v>0</v>
      </c>
      <c r="AE61" s="136">
        <v>0</v>
      </c>
      <c r="AF61" s="136">
        <v>0</v>
      </c>
      <c r="AG61" s="136" t="s">
        <v>411</v>
      </c>
      <c r="AH61" s="136" t="s">
        <v>511</v>
      </c>
    </row>
    <row r="62" spans="1:34">
      <c r="A62" s="135">
        <f t="shared" si="31"/>
        <v>700012</v>
      </c>
      <c r="B62" s="133" t="str">
        <f>VLOOKUP(A:A,Multilingual!A:B,2,FALSE)</f>
        <v>우레폭풍</v>
      </c>
      <c r="C62" s="133" t="s">
        <v>1381</v>
      </c>
      <c r="D62" s="136">
        <v>6</v>
      </c>
      <c r="E62" s="135">
        <v>0</v>
      </c>
      <c r="F62" s="135">
        <v>1</v>
      </c>
      <c r="G62" s="135">
        <v>0</v>
      </c>
      <c r="H62" s="135">
        <v>1</v>
      </c>
      <c r="I62" s="135">
        <f t="shared" si="32"/>
        <v>64</v>
      </c>
      <c r="J62" s="136">
        <v>1540</v>
      </c>
      <c r="K62" s="135">
        <f t="shared" si="29"/>
        <v>154</v>
      </c>
      <c r="L62" s="135">
        <f t="shared" si="25"/>
        <v>5</v>
      </c>
      <c r="M62" s="135">
        <v>1</v>
      </c>
      <c r="N62" s="135">
        <f t="shared" si="30"/>
        <v>4</v>
      </c>
      <c r="O62" s="135">
        <v>0</v>
      </c>
      <c r="P62" s="136">
        <v>8500</v>
      </c>
      <c r="Q62" s="136">
        <v>612</v>
      </c>
      <c r="R62" s="136">
        <v>0</v>
      </c>
      <c r="S62" s="136">
        <v>0</v>
      </c>
      <c r="T62" s="136">
        <v>0</v>
      </c>
      <c r="U62" s="136">
        <v>306</v>
      </c>
      <c r="V62" s="136">
        <v>0</v>
      </c>
      <c r="W62" s="136">
        <v>0</v>
      </c>
      <c r="X62" s="136">
        <v>0</v>
      </c>
      <c r="Y62" s="136">
        <v>0</v>
      </c>
      <c r="Z62" s="136">
        <v>0</v>
      </c>
      <c r="AA62" s="136">
        <v>91</v>
      </c>
      <c r="AB62" s="136">
        <v>0</v>
      </c>
      <c r="AC62" s="136">
        <v>0</v>
      </c>
      <c r="AD62" s="136">
        <v>0</v>
      </c>
      <c r="AE62" s="136">
        <v>0</v>
      </c>
      <c r="AF62" s="136">
        <v>0</v>
      </c>
      <c r="AG62" s="136" t="s">
        <v>411</v>
      </c>
      <c r="AH62" s="136" t="s">
        <v>512</v>
      </c>
    </row>
    <row r="63" spans="1:34">
      <c r="A63" s="135">
        <f t="shared" si="31"/>
        <v>700013</v>
      </c>
      <c r="B63" s="133" t="str">
        <f>VLOOKUP(A:A,Multilingual!A:B,2,FALSE)</f>
        <v>서리심장</v>
      </c>
      <c r="C63" s="133" t="s">
        <v>1381</v>
      </c>
      <c r="D63" s="136">
        <v>6</v>
      </c>
      <c r="E63" s="135">
        <v>0</v>
      </c>
      <c r="F63" s="135">
        <v>1</v>
      </c>
      <c r="G63" s="135">
        <v>0</v>
      </c>
      <c r="H63" s="135">
        <v>1</v>
      </c>
      <c r="I63" s="135">
        <f t="shared" si="32"/>
        <v>64</v>
      </c>
      <c r="J63" s="136">
        <v>1540</v>
      </c>
      <c r="K63" s="135">
        <f t="shared" si="29"/>
        <v>154</v>
      </c>
      <c r="L63" s="135">
        <f t="shared" si="25"/>
        <v>5</v>
      </c>
      <c r="M63" s="135">
        <v>1</v>
      </c>
      <c r="N63" s="135">
        <f t="shared" si="30"/>
        <v>4</v>
      </c>
      <c r="O63" s="135">
        <v>0</v>
      </c>
      <c r="P63" s="136">
        <v>8500</v>
      </c>
      <c r="Q63" s="136">
        <v>612</v>
      </c>
      <c r="R63" s="136">
        <v>0</v>
      </c>
      <c r="S63" s="136">
        <v>275</v>
      </c>
      <c r="T63" s="136">
        <v>0</v>
      </c>
      <c r="U63" s="136">
        <v>0</v>
      </c>
      <c r="V63" s="136">
        <v>0</v>
      </c>
      <c r="W63" s="136">
        <v>0</v>
      </c>
      <c r="X63" s="136">
        <v>0</v>
      </c>
      <c r="Y63" s="136">
        <v>61</v>
      </c>
      <c r="Z63" s="136">
        <v>0</v>
      </c>
      <c r="AA63" s="136">
        <v>0</v>
      </c>
      <c r="AB63" s="136">
        <v>0</v>
      </c>
      <c r="AC63" s="136">
        <v>0</v>
      </c>
      <c r="AD63" s="136">
        <v>0</v>
      </c>
      <c r="AE63" s="136">
        <v>0</v>
      </c>
      <c r="AF63" s="136">
        <v>0</v>
      </c>
      <c r="AG63" s="136" t="s">
        <v>411</v>
      </c>
      <c r="AH63" s="136" t="s">
        <v>513</v>
      </c>
    </row>
    <row r="64" spans="1:34" s="137" customFormat="1">
      <c r="A64" s="130" t="s">
        <v>980</v>
      </c>
    </row>
    <row r="65" spans="1:34">
      <c r="A65" s="135">
        <v>900001</v>
      </c>
      <c r="B65" s="133">
        <f>VLOOKUP(A:A,Multilingual!A:B,2,FALSE)</f>
        <v>0</v>
      </c>
      <c r="C65" s="133" t="s">
        <v>1382</v>
      </c>
      <c r="D65" s="136">
        <v>0</v>
      </c>
      <c r="E65" s="136">
        <v>0</v>
      </c>
      <c r="F65" s="136">
        <v>0</v>
      </c>
      <c r="G65" s="136">
        <v>0</v>
      </c>
      <c r="H65" s="136">
        <v>0</v>
      </c>
      <c r="I65" s="136">
        <v>0</v>
      </c>
      <c r="J65" s="136">
        <v>0</v>
      </c>
      <c r="K65" s="136">
        <v>0</v>
      </c>
      <c r="L65" s="136">
        <v>0</v>
      </c>
      <c r="M65" s="136">
        <v>0</v>
      </c>
      <c r="N65" s="136">
        <v>0</v>
      </c>
      <c r="O65" s="136">
        <v>0</v>
      </c>
      <c r="P65" s="136">
        <v>0</v>
      </c>
      <c r="Q65" s="136">
        <v>0</v>
      </c>
      <c r="R65" s="136">
        <v>0</v>
      </c>
      <c r="S65" s="136">
        <v>0</v>
      </c>
      <c r="T65" s="136">
        <v>0</v>
      </c>
      <c r="U65" s="136">
        <v>0</v>
      </c>
      <c r="V65" s="136">
        <v>0</v>
      </c>
      <c r="W65" s="136">
        <v>0</v>
      </c>
      <c r="X65" s="136">
        <v>0</v>
      </c>
      <c r="Y65" s="136">
        <v>0</v>
      </c>
      <c r="Z65" s="136">
        <v>0</v>
      </c>
      <c r="AA65" s="136">
        <v>0</v>
      </c>
      <c r="AB65" s="136">
        <v>0</v>
      </c>
      <c r="AC65" s="136">
        <v>0</v>
      </c>
      <c r="AD65" s="136">
        <v>0</v>
      </c>
      <c r="AE65" s="136">
        <v>0</v>
      </c>
      <c r="AF65" s="136">
        <v>0</v>
      </c>
      <c r="AG65" s="136">
        <v>0</v>
      </c>
      <c r="AH65" s="136">
        <v>0</v>
      </c>
    </row>
    <row r="66" spans="1:34" s="137" customFormat="1">
      <c r="A66" s="130" t="s">
        <v>981</v>
      </c>
    </row>
    <row r="67" spans="1:34">
      <c r="A67" s="135">
        <v>1000001</v>
      </c>
      <c r="B67" s="133">
        <f>VLOOKUP(A:A,Multilingual!A:B,2,FALSE)</f>
        <v>0</v>
      </c>
      <c r="C67" s="133" t="s">
        <v>1382</v>
      </c>
      <c r="D67" s="136">
        <v>0</v>
      </c>
      <c r="E67" s="136">
        <v>0</v>
      </c>
      <c r="F67" s="136">
        <v>0</v>
      </c>
      <c r="G67" s="136">
        <v>0</v>
      </c>
      <c r="H67" s="136">
        <v>0</v>
      </c>
      <c r="I67" s="136">
        <v>0</v>
      </c>
      <c r="J67" s="136">
        <v>0</v>
      </c>
      <c r="K67" s="136">
        <v>0</v>
      </c>
      <c r="L67" s="136">
        <v>0</v>
      </c>
      <c r="M67" s="136">
        <v>0</v>
      </c>
      <c r="N67" s="136">
        <v>0</v>
      </c>
      <c r="O67" s="136">
        <v>0</v>
      </c>
      <c r="P67" s="136">
        <v>0</v>
      </c>
      <c r="Q67" s="136">
        <v>0</v>
      </c>
      <c r="R67" s="136">
        <v>0</v>
      </c>
      <c r="S67" s="136">
        <v>0</v>
      </c>
      <c r="T67" s="136">
        <v>0</v>
      </c>
      <c r="U67" s="136">
        <v>0</v>
      </c>
      <c r="V67" s="136">
        <v>0</v>
      </c>
      <c r="W67" s="136">
        <v>0</v>
      </c>
      <c r="X67" s="136">
        <v>0</v>
      </c>
      <c r="Y67" s="136">
        <v>0</v>
      </c>
      <c r="Z67" s="136">
        <v>0</v>
      </c>
      <c r="AA67" s="136">
        <v>0</v>
      </c>
      <c r="AB67" s="136">
        <v>0</v>
      </c>
      <c r="AC67" s="136">
        <v>0</v>
      </c>
      <c r="AD67" s="136">
        <v>0</v>
      </c>
      <c r="AE67" s="136">
        <v>0</v>
      </c>
      <c r="AF67" s="136">
        <v>0</v>
      </c>
      <c r="AG67" s="136">
        <v>0</v>
      </c>
      <c r="AH67" s="136">
        <v>0</v>
      </c>
    </row>
    <row r="68" spans="1:34" s="137" customFormat="1">
      <c r="A68" s="130" t="s">
        <v>982</v>
      </c>
    </row>
    <row r="69" spans="1:34">
      <c r="A69" s="135">
        <v>1100001</v>
      </c>
      <c r="B69" s="133">
        <f>VLOOKUP(A:A,Multilingual!A:B,2,FALSE)</f>
        <v>0</v>
      </c>
      <c r="C69" s="133" t="s">
        <v>1382</v>
      </c>
      <c r="D69" s="136">
        <v>0</v>
      </c>
      <c r="E69" s="136">
        <v>0</v>
      </c>
      <c r="F69" s="136">
        <v>0</v>
      </c>
      <c r="G69" s="136">
        <v>0</v>
      </c>
      <c r="H69" s="136">
        <v>0</v>
      </c>
      <c r="I69" s="136">
        <v>0</v>
      </c>
      <c r="J69" s="136">
        <v>0</v>
      </c>
      <c r="K69" s="136">
        <v>0</v>
      </c>
      <c r="L69" s="136">
        <v>0</v>
      </c>
      <c r="M69" s="136">
        <v>0</v>
      </c>
      <c r="N69" s="136">
        <v>0</v>
      </c>
      <c r="O69" s="136">
        <v>0</v>
      </c>
      <c r="P69" s="136">
        <v>0</v>
      </c>
      <c r="Q69" s="136">
        <v>0</v>
      </c>
      <c r="R69" s="136">
        <v>0</v>
      </c>
      <c r="S69" s="136">
        <v>0</v>
      </c>
      <c r="T69" s="136">
        <v>0</v>
      </c>
      <c r="U69" s="136">
        <v>0</v>
      </c>
      <c r="V69" s="136">
        <v>0</v>
      </c>
      <c r="W69" s="136">
        <v>0</v>
      </c>
      <c r="X69" s="136">
        <v>0</v>
      </c>
      <c r="Y69" s="136">
        <v>0</v>
      </c>
      <c r="Z69" s="136">
        <v>0</v>
      </c>
      <c r="AA69" s="136">
        <v>0</v>
      </c>
      <c r="AB69" s="136">
        <v>0</v>
      </c>
      <c r="AC69" s="136">
        <v>0</v>
      </c>
      <c r="AD69" s="136">
        <v>0</v>
      </c>
      <c r="AE69" s="136">
        <v>0</v>
      </c>
      <c r="AF69" s="136">
        <v>0</v>
      </c>
      <c r="AG69" s="136">
        <v>0</v>
      </c>
      <c r="AH69" s="136">
        <v>0</v>
      </c>
    </row>
    <row r="70" spans="1:34" s="137" customFormat="1">
      <c r="A70" s="130" t="s">
        <v>983</v>
      </c>
    </row>
    <row r="71" spans="1:34">
      <c r="A71" s="135">
        <v>1200001</v>
      </c>
      <c r="B71" s="133">
        <f>VLOOKUP(A:A,Multilingual!A:B,2,FALSE)</f>
        <v>0</v>
      </c>
      <c r="C71" s="133" t="s">
        <v>1382</v>
      </c>
      <c r="D71" s="136">
        <v>0</v>
      </c>
      <c r="E71" s="136">
        <v>0</v>
      </c>
      <c r="F71" s="136">
        <v>0</v>
      </c>
      <c r="G71" s="136">
        <v>0</v>
      </c>
      <c r="H71" s="136">
        <v>0</v>
      </c>
      <c r="I71" s="136">
        <v>0</v>
      </c>
      <c r="J71" s="136">
        <v>0</v>
      </c>
      <c r="K71" s="136">
        <v>0</v>
      </c>
      <c r="L71" s="136">
        <v>0</v>
      </c>
      <c r="M71" s="136">
        <v>0</v>
      </c>
      <c r="N71" s="136">
        <v>0</v>
      </c>
      <c r="O71" s="136">
        <v>0</v>
      </c>
      <c r="P71" s="136">
        <v>0</v>
      </c>
      <c r="Q71" s="136">
        <v>0</v>
      </c>
      <c r="R71" s="136">
        <v>0</v>
      </c>
      <c r="S71" s="136">
        <v>0</v>
      </c>
      <c r="T71" s="136">
        <v>0</v>
      </c>
      <c r="U71" s="136">
        <v>0</v>
      </c>
      <c r="V71" s="136">
        <v>0</v>
      </c>
      <c r="W71" s="136">
        <v>0</v>
      </c>
      <c r="X71" s="136">
        <v>0</v>
      </c>
      <c r="Y71" s="136">
        <v>0</v>
      </c>
      <c r="Z71" s="136">
        <v>0</v>
      </c>
      <c r="AA71" s="136">
        <v>0</v>
      </c>
      <c r="AB71" s="136">
        <v>0</v>
      </c>
      <c r="AC71" s="136">
        <v>0</v>
      </c>
      <c r="AD71" s="136">
        <v>0</v>
      </c>
      <c r="AE71" s="136">
        <v>0</v>
      </c>
      <c r="AF71" s="136">
        <v>0</v>
      </c>
      <c r="AG71" s="136">
        <v>0</v>
      </c>
      <c r="AH71" s="136">
        <v>0</v>
      </c>
    </row>
    <row r="72" spans="1:34" s="137" customFormat="1">
      <c r="A72" s="130" t="s">
        <v>984</v>
      </c>
    </row>
    <row r="73" spans="1:34">
      <c r="A73" s="135">
        <v>1400001</v>
      </c>
      <c r="B73" s="133">
        <f>VLOOKUP(A:A,Multilingual!A:B,2,FALSE)</f>
        <v>0</v>
      </c>
      <c r="C73" s="133" t="s">
        <v>1382</v>
      </c>
      <c r="D73" s="136">
        <v>0</v>
      </c>
      <c r="E73" s="136">
        <v>0</v>
      </c>
      <c r="F73" s="136">
        <v>0</v>
      </c>
      <c r="G73" s="136">
        <v>0</v>
      </c>
      <c r="H73" s="136">
        <v>0</v>
      </c>
      <c r="I73" s="136">
        <v>0</v>
      </c>
      <c r="J73" s="136">
        <v>0</v>
      </c>
      <c r="K73" s="136">
        <v>0</v>
      </c>
      <c r="L73" s="136">
        <v>0</v>
      </c>
      <c r="M73" s="136">
        <v>0</v>
      </c>
      <c r="N73" s="136">
        <v>0</v>
      </c>
      <c r="O73" s="136">
        <v>0</v>
      </c>
      <c r="P73" s="136">
        <v>0</v>
      </c>
      <c r="Q73" s="136">
        <v>0</v>
      </c>
      <c r="R73" s="136">
        <v>0</v>
      </c>
      <c r="S73" s="136">
        <v>0</v>
      </c>
      <c r="T73" s="136">
        <v>0</v>
      </c>
      <c r="U73" s="136">
        <v>0</v>
      </c>
      <c r="V73" s="136">
        <v>0</v>
      </c>
      <c r="W73" s="136">
        <v>0</v>
      </c>
      <c r="X73" s="136">
        <v>0</v>
      </c>
      <c r="Y73" s="136">
        <v>0</v>
      </c>
      <c r="Z73" s="136">
        <v>0</v>
      </c>
      <c r="AA73" s="136">
        <v>0</v>
      </c>
      <c r="AB73" s="136">
        <v>0</v>
      </c>
      <c r="AC73" s="136">
        <v>0</v>
      </c>
      <c r="AD73" s="136">
        <v>0</v>
      </c>
      <c r="AE73" s="136">
        <v>0</v>
      </c>
      <c r="AF73" s="136">
        <v>0</v>
      </c>
      <c r="AG73" s="136">
        <v>0</v>
      </c>
      <c r="AH73" s="136">
        <v>0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Tag!$C$8:$C$10</xm:f>
          </x14:formula1>
          <xm:sqref>C5:C73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8">
    <tabColor rgb="FF92D050"/>
  </sheetPr>
  <dimension ref="A1:V29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S47" sqref="S47"/>
    </sheetView>
  </sheetViews>
  <sheetFormatPr defaultRowHeight="13.5"/>
  <cols>
    <col min="1" max="1" width="10.5" style="135" customWidth="1"/>
    <col min="2" max="2" width="17.75" style="133" customWidth="1"/>
    <col min="3" max="3" width="10.625" style="135" bestFit="1" customWidth="1"/>
    <col min="4" max="4" width="6.875" style="135" bestFit="1" customWidth="1"/>
    <col min="5" max="5" width="9.375" style="135" bestFit="1" customWidth="1"/>
    <col min="6" max="6" width="6.875" style="135" bestFit="1" customWidth="1"/>
    <col min="7" max="7" width="9.375" style="135" bestFit="1" customWidth="1"/>
    <col min="8" max="8" width="6.875" style="135" bestFit="1" customWidth="1"/>
    <col min="9" max="9" width="9.375" style="135" bestFit="1" customWidth="1"/>
    <col min="10" max="10" width="6.875" style="135" bestFit="1" customWidth="1"/>
    <col min="11" max="11" width="9.375" style="135" bestFit="1" customWidth="1"/>
    <col min="12" max="12" width="6.875" style="135" bestFit="1" customWidth="1"/>
    <col min="13" max="13" width="9.375" style="135" bestFit="1" customWidth="1"/>
    <col min="14" max="14" width="6.875" style="135" bestFit="1" customWidth="1"/>
    <col min="15" max="15" width="9.375" style="135" bestFit="1" customWidth="1"/>
    <col min="16" max="16" width="6.875" style="135" bestFit="1" customWidth="1"/>
    <col min="17" max="17" width="9.375" style="135" bestFit="1" customWidth="1"/>
    <col min="18" max="18" width="6.875" style="135" bestFit="1" customWidth="1"/>
    <col min="19" max="19" width="9.375" style="135" bestFit="1" customWidth="1"/>
    <col min="20" max="20" width="6.875" style="135" bestFit="1" customWidth="1"/>
    <col min="21" max="21" width="9.375" style="135" bestFit="1" customWidth="1"/>
    <col min="22" max="22" width="6.875" style="135" bestFit="1" customWidth="1"/>
    <col min="23" max="16384" width="9" style="135"/>
  </cols>
  <sheetData>
    <row r="1" spans="1:22" s="134" customFormat="1">
      <c r="A1" s="134" t="s">
        <v>840</v>
      </c>
      <c r="B1" s="126" t="s">
        <v>841</v>
      </c>
      <c r="C1" s="134" t="s">
        <v>842</v>
      </c>
      <c r="D1" s="134" t="s">
        <v>843</v>
      </c>
      <c r="E1" s="134" t="s">
        <v>844</v>
      </c>
      <c r="F1" s="134" t="s">
        <v>845</v>
      </c>
      <c r="G1" s="134" t="s">
        <v>846</v>
      </c>
      <c r="H1" s="134" t="s">
        <v>847</v>
      </c>
      <c r="I1" s="134" t="s">
        <v>848</v>
      </c>
      <c r="J1" s="134" t="s">
        <v>849</v>
      </c>
      <c r="K1" s="134" t="s">
        <v>850</v>
      </c>
      <c r="L1" s="134" t="s">
        <v>851</v>
      </c>
      <c r="M1" s="134" t="s">
        <v>852</v>
      </c>
      <c r="N1" s="134" t="s">
        <v>853</v>
      </c>
      <c r="O1" s="134" t="s">
        <v>854</v>
      </c>
      <c r="P1" s="134" t="s">
        <v>855</v>
      </c>
      <c r="Q1" s="134" t="s">
        <v>856</v>
      </c>
      <c r="R1" s="134" t="s">
        <v>857</v>
      </c>
      <c r="S1" s="134" t="s">
        <v>858</v>
      </c>
      <c r="T1" s="134" t="s">
        <v>859</v>
      </c>
      <c r="U1" s="134" t="s">
        <v>860</v>
      </c>
      <c r="V1" s="134" t="s">
        <v>861</v>
      </c>
    </row>
    <row r="2" spans="1:22" s="134" customFormat="1">
      <c r="A2" s="134" t="s">
        <v>668</v>
      </c>
      <c r="B2" s="126"/>
      <c r="C2" s="134" t="s">
        <v>862</v>
      </c>
      <c r="D2" s="134" t="s">
        <v>863</v>
      </c>
      <c r="E2" s="134" t="s">
        <v>112</v>
      </c>
      <c r="F2" s="134" t="s">
        <v>121</v>
      </c>
      <c r="G2" s="134" t="s">
        <v>113</v>
      </c>
      <c r="H2" s="134" t="s">
        <v>122</v>
      </c>
      <c r="I2" s="134" t="s">
        <v>114</v>
      </c>
      <c r="J2" s="134" t="s">
        <v>123</v>
      </c>
      <c r="K2" s="134" t="s">
        <v>115</v>
      </c>
      <c r="L2" s="134" t="s">
        <v>124</v>
      </c>
      <c r="M2" s="134" t="s">
        <v>116</v>
      </c>
      <c r="N2" s="134" t="s">
        <v>125</v>
      </c>
      <c r="O2" s="134" t="s">
        <v>117</v>
      </c>
      <c r="P2" s="134" t="s">
        <v>126</v>
      </c>
      <c r="Q2" s="134" t="s">
        <v>118</v>
      </c>
      <c r="R2" s="134" t="s">
        <v>127</v>
      </c>
      <c r="S2" s="134" t="s">
        <v>119</v>
      </c>
      <c r="T2" s="134" t="s">
        <v>128</v>
      </c>
      <c r="U2" s="134" t="s">
        <v>120</v>
      </c>
      <c r="V2" s="134" t="s">
        <v>129</v>
      </c>
    </row>
    <row r="3" spans="1:22" s="134" customFormat="1">
      <c r="A3" s="134" t="s">
        <v>14</v>
      </c>
      <c r="B3" s="126"/>
      <c r="C3" s="134" t="s">
        <v>864</v>
      </c>
      <c r="D3" s="134" t="s">
        <v>864</v>
      </c>
      <c r="E3" s="134" t="s">
        <v>864</v>
      </c>
      <c r="F3" s="134" t="s">
        <v>864</v>
      </c>
      <c r="G3" s="134" t="s">
        <v>864</v>
      </c>
      <c r="H3" s="134" t="s">
        <v>864</v>
      </c>
      <c r="I3" s="134" t="s">
        <v>864</v>
      </c>
      <c r="J3" s="134" t="s">
        <v>864</v>
      </c>
      <c r="K3" s="134" t="s">
        <v>864</v>
      </c>
      <c r="L3" s="134" t="s">
        <v>864</v>
      </c>
      <c r="M3" s="134" t="s">
        <v>864</v>
      </c>
      <c r="N3" s="134" t="s">
        <v>864</v>
      </c>
      <c r="O3" s="134" t="s">
        <v>864</v>
      </c>
      <c r="P3" s="134" t="s">
        <v>864</v>
      </c>
      <c r="Q3" s="134" t="s">
        <v>864</v>
      </c>
      <c r="R3" s="134" t="s">
        <v>864</v>
      </c>
      <c r="S3" s="134" t="s">
        <v>864</v>
      </c>
      <c r="T3" s="134" t="s">
        <v>864</v>
      </c>
      <c r="U3" s="134" t="s">
        <v>864</v>
      </c>
      <c r="V3" s="134" t="s">
        <v>864</v>
      </c>
    </row>
    <row r="4" spans="1:22" s="137" customFormat="1">
      <c r="A4" s="130" t="s">
        <v>865</v>
      </c>
      <c r="B4" s="127"/>
    </row>
    <row r="5" spans="1:22">
      <c r="A5" s="135">
        <v>1</v>
      </c>
      <c r="B5" s="133" t="s">
        <v>1280</v>
      </c>
      <c r="C5" s="135">
        <v>1</v>
      </c>
      <c r="D5" s="135">
        <v>100</v>
      </c>
      <c r="E5" s="150">
        <v>2</v>
      </c>
      <c r="F5" s="150">
        <v>100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</row>
    <row r="6" spans="1:22">
      <c r="A6" s="135">
        <f>A5+1</f>
        <v>2</v>
      </c>
      <c r="B6" s="133" t="s">
        <v>1282</v>
      </c>
      <c r="C6" s="135">
        <v>0</v>
      </c>
      <c r="D6" s="135">
        <v>0</v>
      </c>
      <c r="E6" s="150">
        <v>0</v>
      </c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</row>
    <row r="7" spans="1:22">
      <c r="A7" s="135">
        <f t="shared" ref="A7:A12" si="0">A6+1</f>
        <v>3</v>
      </c>
      <c r="B7" s="133" t="s">
        <v>1283</v>
      </c>
      <c r="C7" s="135">
        <v>0</v>
      </c>
      <c r="D7" s="135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</row>
    <row r="8" spans="1:22">
      <c r="A8" s="135">
        <f t="shared" si="0"/>
        <v>4</v>
      </c>
      <c r="B8" s="133" t="s">
        <v>1281</v>
      </c>
      <c r="C8" s="135">
        <v>0</v>
      </c>
      <c r="D8" s="135">
        <v>0</v>
      </c>
      <c r="E8" s="150">
        <v>0</v>
      </c>
      <c r="F8" s="150">
        <v>0</v>
      </c>
      <c r="G8" s="150">
        <v>0</v>
      </c>
      <c r="H8" s="150">
        <v>0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</row>
    <row r="9" spans="1:22">
      <c r="A9" s="135">
        <f t="shared" si="0"/>
        <v>5</v>
      </c>
      <c r="B9" s="133" t="s">
        <v>1285</v>
      </c>
      <c r="C9" s="135">
        <v>0</v>
      </c>
      <c r="D9" s="135">
        <v>0</v>
      </c>
      <c r="E9" s="150">
        <v>0</v>
      </c>
      <c r="F9" s="150">
        <v>0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</row>
    <row r="10" spans="1:22">
      <c r="A10" s="135">
        <f t="shared" si="0"/>
        <v>6</v>
      </c>
      <c r="B10" s="133" t="s">
        <v>1284</v>
      </c>
      <c r="C10" s="135">
        <v>0</v>
      </c>
      <c r="D10" s="135">
        <v>0</v>
      </c>
      <c r="E10" s="150">
        <v>0</v>
      </c>
      <c r="F10" s="150">
        <v>0</v>
      </c>
      <c r="G10" s="150">
        <v>0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</row>
    <row r="11" spans="1:22">
      <c r="A11" s="135">
        <f t="shared" si="0"/>
        <v>7</v>
      </c>
      <c r="B11" s="133" t="s">
        <v>398</v>
      </c>
      <c r="C11" s="135">
        <v>0</v>
      </c>
      <c r="D11" s="135">
        <v>0</v>
      </c>
      <c r="E11" s="150">
        <v>0</v>
      </c>
      <c r="F11" s="150">
        <v>0</v>
      </c>
      <c r="G11" s="150">
        <v>0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</row>
    <row r="12" spans="1:22">
      <c r="A12" s="135">
        <f t="shared" si="0"/>
        <v>8</v>
      </c>
      <c r="B12" s="133" t="s">
        <v>402</v>
      </c>
      <c r="C12" s="135">
        <v>0</v>
      </c>
      <c r="D12" s="135">
        <v>0</v>
      </c>
      <c r="E12" s="150">
        <v>0</v>
      </c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</row>
    <row r="13" spans="1:22">
      <c r="A13" s="135">
        <f t="shared" ref="A13:A25" si="1">A12+1</f>
        <v>9</v>
      </c>
      <c r="B13" s="133" t="s">
        <v>403</v>
      </c>
      <c r="C13" s="135">
        <v>0</v>
      </c>
      <c r="D13" s="135">
        <v>0</v>
      </c>
      <c r="E13" s="150">
        <v>0</v>
      </c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</row>
    <row r="14" spans="1:22">
      <c r="A14" s="135">
        <f t="shared" si="1"/>
        <v>10</v>
      </c>
      <c r="B14" s="133" t="s">
        <v>404</v>
      </c>
      <c r="C14" s="135">
        <v>0</v>
      </c>
      <c r="D14" s="135">
        <v>0</v>
      </c>
      <c r="E14" s="150">
        <v>0</v>
      </c>
      <c r="F14" s="150">
        <v>0</v>
      </c>
      <c r="G14" s="150">
        <v>0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</row>
    <row r="15" spans="1:22">
      <c r="A15" s="135">
        <f t="shared" si="1"/>
        <v>11</v>
      </c>
      <c r="B15" s="133" t="s">
        <v>405</v>
      </c>
      <c r="C15" s="135">
        <v>0</v>
      </c>
      <c r="D15" s="135">
        <v>0</v>
      </c>
      <c r="E15" s="150">
        <v>0</v>
      </c>
      <c r="F15" s="150">
        <v>0</v>
      </c>
      <c r="G15" s="150">
        <v>0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</row>
    <row r="16" spans="1:22">
      <c r="A16" s="135">
        <f t="shared" si="1"/>
        <v>12</v>
      </c>
      <c r="B16" s="133" t="s">
        <v>406</v>
      </c>
      <c r="C16" s="135">
        <v>0</v>
      </c>
      <c r="D16" s="135">
        <v>0</v>
      </c>
      <c r="E16" s="150">
        <v>0</v>
      </c>
      <c r="F16" s="150">
        <v>0</v>
      </c>
      <c r="G16" s="150">
        <v>0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</row>
    <row r="17" spans="1:22">
      <c r="A17" s="135">
        <f t="shared" si="1"/>
        <v>13</v>
      </c>
      <c r="B17" s="133" t="s">
        <v>262</v>
      </c>
      <c r="C17" s="135">
        <v>0</v>
      </c>
      <c r="D17" s="135">
        <v>0</v>
      </c>
      <c r="E17" s="150">
        <v>0</v>
      </c>
      <c r="F17" s="150">
        <v>0</v>
      </c>
      <c r="G17" s="150">
        <v>0</v>
      </c>
      <c r="H17" s="150">
        <v>0</v>
      </c>
      <c r="I17" s="150">
        <v>0</v>
      </c>
      <c r="J17" s="150">
        <v>0</v>
      </c>
      <c r="K17" s="150">
        <v>0</v>
      </c>
      <c r="L17" s="150">
        <v>0</v>
      </c>
      <c r="M17" s="150">
        <v>0</v>
      </c>
      <c r="N17" s="150">
        <v>0</v>
      </c>
      <c r="O17" s="150">
        <v>0</v>
      </c>
      <c r="P17" s="150">
        <v>0</v>
      </c>
      <c r="Q17" s="150">
        <v>0</v>
      </c>
      <c r="R17" s="150">
        <v>0</v>
      </c>
      <c r="S17" s="150">
        <v>0</v>
      </c>
      <c r="T17" s="150">
        <v>0</v>
      </c>
      <c r="U17" s="150">
        <v>0</v>
      </c>
      <c r="V17" s="150">
        <v>0</v>
      </c>
    </row>
    <row r="18" spans="1:22">
      <c r="A18" s="135">
        <f t="shared" si="1"/>
        <v>14</v>
      </c>
      <c r="B18" s="133" t="s">
        <v>407</v>
      </c>
      <c r="C18" s="135">
        <v>0</v>
      </c>
      <c r="D18" s="135">
        <v>0</v>
      </c>
      <c r="E18" s="150">
        <v>0</v>
      </c>
      <c r="F18" s="150">
        <v>0</v>
      </c>
      <c r="G18" s="150">
        <v>0</v>
      </c>
      <c r="H18" s="150">
        <v>0</v>
      </c>
      <c r="I18" s="150">
        <v>0</v>
      </c>
      <c r="J18" s="150">
        <v>0</v>
      </c>
      <c r="K18" s="150">
        <v>0</v>
      </c>
      <c r="L18" s="150">
        <v>0</v>
      </c>
      <c r="M18" s="150">
        <v>0</v>
      </c>
      <c r="N18" s="150">
        <v>0</v>
      </c>
      <c r="O18" s="150">
        <v>0</v>
      </c>
      <c r="P18" s="150">
        <v>0</v>
      </c>
      <c r="Q18" s="150">
        <v>0</v>
      </c>
      <c r="R18" s="150">
        <v>0</v>
      </c>
      <c r="S18" s="150">
        <v>0</v>
      </c>
      <c r="T18" s="150">
        <v>0</v>
      </c>
      <c r="U18" s="150">
        <v>0</v>
      </c>
      <c r="V18" s="150">
        <v>0</v>
      </c>
    </row>
    <row r="19" spans="1:22">
      <c r="A19" s="135">
        <f t="shared" si="1"/>
        <v>15</v>
      </c>
      <c r="B19" s="133" t="s">
        <v>408</v>
      </c>
      <c r="C19" s="135">
        <v>0</v>
      </c>
      <c r="D19" s="135">
        <v>0</v>
      </c>
      <c r="E19" s="150">
        <v>0</v>
      </c>
      <c r="F19" s="150">
        <v>0</v>
      </c>
      <c r="G19" s="150">
        <v>0</v>
      </c>
      <c r="H19" s="150">
        <v>0</v>
      </c>
      <c r="I19" s="150">
        <v>0</v>
      </c>
      <c r="J19" s="150">
        <v>0</v>
      </c>
      <c r="K19" s="150">
        <v>0</v>
      </c>
      <c r="L19" s="150">
        <v>0</v>
      </c>
      <c r="M19" s="150">
        <v>0</v>
      </c>
      <c r="N19" s="150">
        <v>0</v>
      </c>
      <c r="O19" s="150">
        <v>0</v>
      </c>
      <c r="P19" s="150">
        <v>0</v>
      </c>
      <c r="Q19" s="150">
        <v>0</v>
      </c>
      <c r="R19" s="150">
        <v>0</v>
      </c>
      <c r="S19" s="150">
        <v>0</v>
      </c>
      <c r="T19" s="150">
        <v>0</v>
      </c>
      <c r="U19" s="150">
        <v>0</v>
      </c>
      <c r="V19" s="150">
        <v>0</v>
      </c>
    </row>
    <row r="20" spans="1:22">
      <c r="A20" s="135">
        <f t="shared" si="1"/>
        <v>16</v>
      </c>
      <c r="B20" s="133" t="s">
        <v>409</v>
      </c>
      <c r="C20" s="135">
        <v>0</v>
      </c>
      <c r="D20" s="135">
        <v>0</v>
      </c>
      <c r="E20" s="150">
        <v>0</v>
      </c>
      <c r="F20" s="150">
        <v>0</v>
      </c>
      <c r="G20" s="150">
        <v>0</v>
      </c>
      <c r="H20" s="150">
        <v>0</v>
      </c>
      <c r="I20" s="150">
        <v>0</v>
      </c>
      <c r="J20" s="150">
        <v>0</v>
      </c>
      <c r="K20" s="150">
        <v>0</v>
      </c>
      <c r="L20" s="150">
        <v>0</v>
      </c>
      <c r="M20" s="150">
        <v>0</v>
      </c>
      <c r="N20" s="150">
        <v>0</v>
      </c>
      <c r="O20" s="150">
        <v>0</v>
      </c>
      <c r="P20" s="150">
        <v>0</v>
      </c>
      <c r="Q20" s="150">
        <v>0</v>
      </c>
      <c r="R20" s="150">
        <v>0</v>
      </c>
      <c r="S20" s="150">
        <v>0</v>
      </c>
      <c r="T20" s="150">
        <v>0</v>
      </c>
      <c r="U20" s="150">
        <v>0</v>
      </c>
      <c r="V20" s="150">
        <v>0</v>
      </c>
    </row>
    <row r="21" spans="1:22">
      <c r="A21" s="135">
        <f t="shared" si="1"/>
        <v>17</v>
      </c>
      <c r="B21" s="133" t="s">
        <v>410</v>
      </c>
      <c r="C21" s="135">
        <v>0</v>
      </c>
      <c r="D21" s="135">
        <v>0</v>
      </c>
      <c r="E21" s="150">
        <v>0</v>
      </c>
      <c r="F21" s="150">
        <v>0</v>
      </c>
      <c r="G21" s="150">
        <v>0</v>
      </c>
      <c r="H21" s="150">
        <v>0</v>
      </c>
      <c r="I21" s="150">
        <v>0</v>
      </c>
      <c r="J21" s="150">
        <v>0</v>
      </c>
      <c r="K21" s="150">
        <v>0</v>
      </c>
      <c r="L21" s="150">
        <v>0</v>
      </c>
      <c r="M21" s="150">
        <v>0</v>
      </c>
      <c r="N21" s="150">
        <v>0</v>
      </c>
      <c r="O21" s="150">
        <v>0</v>
      </c>
      <c r="P21" s="150">
        <v>0</v>
      </c>
      <c r="Q21" s="150">
        <v>0</v>
      </c>
      <c r="R21" s="150">
        <v>0</v>
      </c>
      <c r="S21" s="150">
        <v>0</v>
      </c>
      <c r="T21" s="150">
        <v>0</v>
      </c>
      <c r="U21" s="150">
        <v>0</v>
      </c>
      <c r="V21" s="150">
        <v>0</v>
      </c>
    </row>
    <row r="22" spans="1:22">
      <c r="A22" s="135">
        <f t="shared" si="1"/>
        <v>18</v>
      </c>
      <c r="B22" s="133" t="s">
        <v>263</v>
      </c>
      <c r="C22" s="135">
        <v>0</v>
      </c>
      <c r="D22" s="135">
        <v>0</v>
      </c>
      <c r="E22" s="150">
        <v>0</v>
      </c>
      <c r="F22" s="150">
        <v>0</v>
      </c>
      <c r="G22" s="150">
        <v>0</v>
      </c>
      <c r="H22" s="150">
        <v>0</v>
      </c>
      <c r="I22" s="150">
        <v>0</v>
      </c>
      <c r="J22" s="150">
        <v>0</v>
      </c>
      <c r="K22" s="150">
        <v>0</v>
      </c>
      <c r="L22" s="150">
        <v>0</v>
      </c>
      <c r="M22" s="150">
        <v>0</v>
      </c>
      <c r="N22" s="150">
        <v>0</v>
      </c>
      <c r="O22" s="150">
        <v>0</v>
      </c>
      <c r="P22" s="150">
        <v>0</v>
      </c>
      <c r="Q22" s="150">
        <v>0</v>
      </c>
      <c r="R22" s="150">
        <v>0</v>
      </c>
      <c r="S22" s="150">
        <v>0</v>
      </c>
      <c r="T22" s="150">
        <v>0</v>
      </c>
      <c r="U22" s="150">
        <v>0</v>
      </c>
      <c r="V22" s="150">
        <v>0</v>
      </c>
    </row>
    <row r="23" spans="1:22">
      <c r="A23" s="135">
        <f t="shared" si="1"/>
        <v>19</v>
      </c>
      <c r="B23" s="133" t="s">
        <v>264</v>
      </c>
      <c r="C23" s="135">
        <v>0</v>
      </c>
      <c r="D23" s="135">
        <v>0</v>
      </c>
      <c r="E23" s="150">
        <v>0</v>
      </c>
      <c r="F23" s="150">
        <v>0</v>
      </c>
      <c r="G23" s="150">
        <v>0</v>
      </c>
      <c r="H23" s="150">
        <v>0</v>
      </c>
      <c r="I23" s="150">
        <v>0</v>
      </c>
      <c r="J23" s="150">
        <v>0</v>
      </c>
      <c r="K23" s="150">
        <v>0</v>
      </c>
      <c r="L23" s="150">
        <v>0</v>
      </c>
      <c r="M23" s="150">
        <v>0</v>
      </c>
      <c r="N23" s="150">
        <v>0</v>
      </c>
      <c r="O23" s="150">
        <v>0</v>
      </c>
      <c r="P23" s="150">
        <v>0</v>
      </c>
      <c r="Q23" s="150">
        <v>0</v>
      </c>
      <c r="R23" s="150">
        <v>0</v>
      </c>
      <c r="S23" s="150">
        <v>0</v>
      </c>
      <c r="T23" s="150">
        <v>0</v>
      </c>
      <c r="U23" s="150">
        <v>0</v>
      </c>
      <c r="V23" s="150">
        <v>0</v>
      </c>
    </row>
    <row r="24" spans="1:22">
      <c r="A24" s="135">
        <f t="shared" si="1"/>
        <v>20</v>
      </c>
      <c r="B24" s="133" t="s">
        <v>265</v>
      </c>
      <c r="C24" s="135">
        <v>0</v>
      </c>
      <c r="D24" s="135">
        <v>0</v>
      </c>
      <c r="E24" s="150">
        <v>0</v>
      </c>
      <c r="F24" s="150">
        <v>0</v>
      </c>
      <c r="G24" s="150">
        <v>0</v>
      </c>
      <c r="H24" s="150">
        <v>0</v>
      </c>
      <c r="I24" s="150">
        <v>0</v>
      </c>
      <c r="J24" s="150">
        <v>0</v>
      </c>
      <c r="K24" s="150">
        <v>0</v>
      </c>
      <c r="L24" s="150">
        <v>0</v>
      </c>
      <c r="M24" s="150">
        <v>0</v>
      </c>
      <c r="N24" s="150">
        <v>0</v>
      </c>
      <c r="O24" s="150">
        <v>0</v>
      </c>
      <c r="P24" s="150">
        <v>0</v>
      </c>
      <c r="Q24" s="150">
        <v>0</v>
      </c>
      <c r="R24" s="150">
        <v>0</v>
      </c>
      <c r="S24" s="150">
        <v>0</v>
      </c>
      <c r="T24" s="150">
        <v>0</v>
      </c>
      <c r="U24" s="150">
        <v>0</v>
      </c>
      <c r="V24" s="150">
        <v>0</v>
      </c>
    </row>
    <row r="25" spans="1:22">
      <c r="A25" s="135">
        <f t="shared" si="1"/>
        <v>21</v>
      </c>
      <c r="B25" s="133" t="s">
        <v>266</v>
      </c>
      <c r="C25" s="135">
        <v>0</v>
      </c>
      <c r="D25" s="135">
        <v>0</v>
      </c>
      <c r="E25" s="150">
        <v>0</v>
      </c>
      <c r="F25" s="150">
        <v>0</v>
      </c>
      <c r="G25" s="150">
        <v>0</v>
      </c>
      <c r="H25" s="150">
        <v>0</v>
      </c>
      <c r="I25" s="150">
        <v>0</v>
      </c>
      <c r="J25" s="150">
        <v>0</v>
      </c>
      <c r="K25" s="150">
        <v>0</v>
      </c>
      <c r="L25" s="150">
        <v>0</v>
      </c>
      <c r="M25" s="150">
        <v>0</v>
      </c>
      <c r="N25" s="150">
        <v>0</v>
      </c>
      <c r="O25" s="150">
        <v>0</v>
      </c>
      <c r="P25" s="150">
        <v>0</v>
      </c>
      <c r="Q25" s="150">
        <v>0</v>
      </c>
      <c r="R25" s="150">
        <v>0</v>
      </c>
      <c r="S25" s="150">
        <v>0</v>
      </c>
      <c r="T25" s="150">
        <v>0</v>
      </c>
      <c r="U25" s="150">
        <v>0</v>
      </c>
      <c r="V25" s="150">
        <v>0</v>
      </c>
    </row>
    <row r="26" spans="1:22" s="137" customFormat="1">
      <c r="A26" s="130" t="s">
        <v>606</v>
      </c>
      <c r="B26" s="127"/>
    </row>
    <row r="27" spans="1:22">
      <c r="A27" s="135">
        <v>1000001</v>
      </c>
      <c r="B27" s="133" t="s">
        <v>607</v>
      </c>
      <c r="C27" s="135">
        <v>0</v>
      </c>
      <c r="D27" s="135">
        <v>0</v>
      </c>
      <c r="E27" s="135">
        <v>0</v>
      </c>
      <c r="F27" s="135">
        <v>0</v>
      </c>
      <c r="G27" s="135">
        <v>0</v>
      </c>
      <c r="H27" s="135">
        <v>0</v>
      </c>
      <c r="I27" s="135">
        <v>0</v>
      </c>
      <c r="J27" s="135">
        <v>0</v>
      </c>
      <c r="K27" s="135">
        <v>0</v>
      </c>
      <c r="L27" s="135">
        <v>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</row>
    <row r="28" spans="1:22" s="137" customFormat="1">
      <c r="A28" s="130" t="s">
        <v>608</v>
      </c>
      <c r="B28" s="127"/>
    </row>
    <row r="29" spans="1:22">
      <c r="A29" s="135">
        <v>1500001</v>
      </c>
      <c r="B29" s="133" t="s">
        <v>609</v>
      </c>
      <c r="C29" s="135">
        <v>0</v>
      </c>
      <c r="D29" s="135">
        <v>0</v>
      </c>
      <c r="E29" s="135">
        <v>0</v>
      </c>
      <c r="F29" s="135">
        <v>0</v>
      </c>
      <c r="G29" s="135">
        <v>0</v>
      </c>
      <c r="H29" s="135">
        <v>0</v>
      </c>
      <c r="I29" s="135">
        <v>0</v>
      </c>
      <c r="J29" s="135">
        <v>0</v>
      </c>
      <c r="K29" s="135">
        <v>0</v>
      </c>
      <c r="L29" s="135">
        <v>0</v>
      </c>
      <c r="M29" s="135">
        <v>0</v>
      </c>
      <c r="N29" s="135">
        <v>0</v>
      </c>
      <c r="O29" s="135">
        <v>0</v>
      </c>
      <c r="P29" s="135">
        <v>0</v>
      </c>
      <c r="Q29" s="135">
        <v>0</v>
      </c>
      <c r="R29" s="135">
        <v>0</v>
      </c>
      <c r="S29" s="135">
        <v>0</v>
      </c>
      <c r="T29" s="135">
        <v>0</v>
      </c>
      <c r="U29" s="135">
        <v>0</v>
      </c>
      <c r="V29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92D050"/>
  </sheetPr>
  <dimension ref="A1:D121"/>
  <sheetViews>
    <sheetView zoomScale="85" zoomScaleNormal="85" workbookViewId="0">
      <pane ySplit="3" topLeftCell="A46" activePane="bottomLeft" state="frozen"/>
      <selection activeCell="AC80" sqref="AC79:AC80"/>
      <selection pane="bottomLeft" activeCell="D75" sqref="D75"/>
    </sheetView>
  </sheetViews>
  <sheetFormatPr defaultRowHeight="13.5"/>
  <cols>
    <col min="1" max="1" width="12.875" style="135" customWidth="1"/>
    <col min="2" max="2" width="54.25" style="115" bestFit="1" customWidth="1"/>
    <col min="3" max="3" width="12.5" style="135" bestFit="1" customWidth="1"/>
    <col min="4" max="4" width="63.875" style="135" bestFit="1" customWidth="1"/>
    <col min="5" max="16384" width="9" style="135"/>
  </cols>
  <sheetData>
    <row r="1" spans="1:4" s="134" customFormat="1">
      <c r="A1" s="134" t="s">
        <v>1118</v>
      </c>
      <c r="B1" s="116" t="s">
        <v>1119</v>
      </c>
      <c r="C1" s="134" t="s">
        <v>1120</v>
      </c>
      <c r="D1" s="134" t="s">
        <v>1121</v>
      </c>
    </row>
    <row r="2" spans="1:4" s="134" customFormat="1" ht="15.75" customHeight="1">
      <c r="A2" s="134" t="s">
        <v>1122</v>
      </c>
      <c r="B2" s="117" t="s">
        <v>1123</v>
      </c>
      <c r="C2" s="134" t="s">
        <v>1124</v>
      </c>
      <c r="D2" s="134" t="s">
        <v>1125</v>
      </c>
    </row>
    <row r="3" spans="1:4" s="134" customFormat="1">
      <c r="A3" s="134" t="s">
        <v>670</v>
      </c>
      <c r="B3" s="117" t="s">
        <v>1243</v>
      </c>
      <c r="C3" s="134" t="s">
        <v>1243</v>
      </c>
      <c r="D3" s="134" t="s">
        <v>1243</v>
      </c>
    </row>
    <row r="4" spans="1:4" s="137" customFormat="1">
      <c r="A4" s="130" t="s">
        <v>1292</v>
      </c>
      <c r="B4" s="118"/>
    </row>
    <row r="5" spans="1:4">
      <c r="A5" s="135">
        <v>1</v>
      </c>
      <c r="B5" s="115" t="s">
        <v>1286</v>
      </c>
      <c r="C5" s="133" t="str">
        <f>"Eng"&amp;A5</f>
        <v>Eng1</v>
      </c>
      <c r="D5" s="136" t="str">
        <f>B5&amp;"Jpn"</f>
        <v>테스트_01Jpn</v>
      </c>
    </row>
    <row r="6" spans="1:4">
      <c r="A6" s="135">
        <f>A5+1</f>
        <v>2</v>
      </c>
      <c r="B6" s="115" t="s">
        <v>1287</v>
      </c>
      <c r="C6" s="133" t="str">
        <f t="shared" ref="C6:C76" si="0">"Eng"&amp;A6</f>
        <v>Eng2</v>
      </c>
      <c r="D6" s="136" t="str">
        <f t="shared" ref="D6:D76" si="1">B6&amp;"Jpn"</f>
        <v>테스트_02Jpn</v>
      </c>
    </row>
    <row r="7" spans="1:4">
      <c r="A7" s="135">
        <f>A6+1</f>
        <v>3</v>
      </c>
      <c r="B7" s="115" t="s">
        <v>1288</v>
      </c>
      <c r="C7" s="133" t="str">
        <f t="shared" si="0"/>
        <v>Eng3</v>
      </c>
      <c r="D7" s="136" t="str">
        <f t="shared" si="1"/>
        <v>테스트_03Jpn</v>
      </c>
    </row>
    <row r="8" spans="1:4" s="137" customFormat="1">
      <c r="A8" s="130" t="s">
        <v>1293</v>
      </c>
      <c r="B8" s="118"/>
    </row>
    <row r="9" spans="1:4">
      <c r="A9" s="135">
        <v>100001</v>
      </c>
      <c r="B9" s="129" t="s">
        <v>418</v>
      </c>
      <c r="C9" s="133" t="str">
        <f t="shared" si="0"/>
        <v>Eng100001</v>
      </c>
      <c r="D9" s="136" t="str">
        <f t="shared" si="1"/>
        <v>저급 투구Jpn</v>
      </c>
    </row>
    <row r="10" spans="1:4">
      <c r="A10" s="135">
        <f>A9+1</f>
        <v>100002</v>
      </c>
      <c r="B10" s="129" t="s">
        <v>1224</v>
      </c>
      <c r="C10" s="133" t="str">
        <f t="shared" si="0"/>
        <v>Eng100002</v>
      </c>
      <c r="D10" s="136" t="str">
        <f t="shared" si="1"/>
        <v>투구Jpn</v>
      </c>
    </row>
    <row r="11" spans="1:4">
      <c r="A11" s="135">
        <f t="shared" ref="A11:A14" si="2">A10+1</f>
        <v>100003</v>
      </c>
      <c r="B11" s="129" t="s">
        <v>419</v>
      </c>
      <c r="C11" s="133" t="str">
        <f t="shared" si="0"/>
        <v>Eng100003</v>
      </c>
      <c r="D11" s="136" t="str">
        <f t="shared" si="1"/>
        <v>고급 군모Jpn</v>
      </c>
    </row>
    <row r="12" spans="1:4">
      <c r="A12" s="135">
        <f t="shared" si="2"/>
        <v>100004</v>
      </c>
      <c r="B12" s="129" t="s">
        <v>420</v>
      </c>
      <c r="C12" s="133" t="str">
        <f t="shared" si="0"/>
        <v>Eng100004</v>
      </c>
      <c r="D12" s="136" t="str">
        <f t="shared" si="1"/>
        <v>질긴 대형 투구Jpn</v>
      </c>
    </row>
    <row r="13" spans="1:4">
      <c r="A13" s="135">
        <f t="shared" si="2"/>
        <v>100005</v>
      </c>
      <c r="B13" s="129" t="s">
        <v>421</v>
      </c>
      <c r="C13" s="133" t="str">
        <f t="shared" si="0"/>
        <v>Eng100005</v>
      </c>
      <c r="D13" s="136" t="str">
        <f t="shared" si="1"/>
        <v>갈라진 도움Jpn</v>
      </c>
    </row>
    <row r="14" spans="1:4">
      <c r="A14" s="135">
        <f t="shared" si="2"/>
        <v>100006</v>
      </c>
      <c r="B14" s="129" t="s">
        <v>422</v>
      </c>
      <c r="C14" s="133" t="str">
        <f t="shared" si="0"/>
        <v>Eng100006</v>
      </c>
      <c r="D14" s="136" t="str">
        <f t="shared" si="1"/>
        <v>냄비 뚜껑Jpn</v>
      </c>
    </row>
    <row r="15" spans="1:4" s="137" customFormat="1">
      <c r="A15" s="130" t="s">
        <v>1294</v>
      </c>
      <c r="B15" s="118"/>
    </row>
    <row r="16" spans="1:4">
      <c r="A16" s="135">
        <v>200001</v>
      </c>
      <c r="B16" s="129" t="s">
        <v>423</v>
      </c>
      <c r="C16" s="133" t="str">
        <f t="shared" si="0"/>
        <v>Eng200001</v>
      </c>
      <c r="D16" s="136" t="str">
        <f t="shared" si="1"/>
        <v>저급 가죽 갑옷Jpn</v>
      </c>
    </row>
    <row r="17" spans="1:4">
      <c r="A17" s="135">
        <f>A16+1</f>
        <v>200002</v>
      </c>
      <c r="B17" s="129" t="s">
        <v>424</v>
      </c>
      <c r="C17" s="133" t="str">
        <f t="shared" si="0"/>
        <v>Eng200002</v>
      </c>
      <c r="D17" s="136" t="str">
        <f t="shared" si="1"/>
        <v>가죽 갑옷Jpn</v>
      </c>
    </row>
    <row r="18" spans="1:4">
      <c r="A18" s="135">
        <f t="shared" ref="A18:A21" si="3">A17+1</f>
        <v>200003</v>
      </c>
      <c r="B18" s="129" t="s">
        <v>425</v>
      </c>
      <c r="C18" s="133" t="str">
        <f t="shared" si="0"/>
        <v>Eng200003</v>
      </c>
      <c r="D18" s="136" t="str">
        <f t="shared" si="1"/>
        <v>고급 판 갑옷Jpn</v>
      </c>
    </row>
    <row r="19" spans="1:4">
      <c r="A19" s="135">
        <f t="shared" si="3"/>
        <v>200004</v>
      </c>
      <c r="B19" s="129" t="s">
        <v>426</v>
      </c>
      <c r="C19" s="133" t="str">
        <f t="shared" si="0"/>
        <v>Eng200004</v>
      </c>
      <c r="D19" s="136" t="str">
        <f t="shared" si="1"/>
        <v>못 박힌 철판 갑옷Jpn</v>
      </c>
    </row>
    <row r="20" spans="1:4">
      <c r="A20" s="135">
        <f t="shared" si="3"/>
        <v>200005</v>
      </c>
      <c r="B20" s="129" t="s">
        <v>427</v>
      </c>
      <c r="C20" s="133" t="str">
        <f t="shared" si="0"/>
        <v>Eng200005</v>
      </c>
      <c r="D20" s="136" t="str">
        <f t="shared" si="1"/>
        <v>당연한 특징Jpn</v>
      </c>
    </row>
    <row r="21" spans="1:4">
      <c r="A21" s="135">
        <f t="shared" si="3"/>
        <v>200006</v>
      </c>
      <c r="B21" s="129" t="s">
        <v>428</v>
      </c>
      <c r="C21" s="133" t="str">
        <f t="shared" si="0"/>
        <v>Eng200006</v>
      </c>
      <c r="D21" s="136" t="str">
        <f t="shared" si="1"/>
        <v>황금 갑옷Jpn</v>
      </c>
    </row>
    <row r="22" spans="1:4" s="137" customFormat="1">
      <c r="A22" s="130" t="s">
        <v>1295</v>
      </c>
      <c r="B22" s="118"/>
    </row>
    <row r="23" spans="1:4">
      <c r="A23" s="135">
        <v>300001</v>
      </c>
      <c r="B23" s="129" t="s">
        <v>429</v>
      </c>
      <c r="C23" s="133" t="str">
        <f t="shared" si="0"/>
        <v>Eng300001</v>
      </c>
      <c r="D23" s="136" t="str">
        <f t="shared" si="1"/>
        <v>저급 바지Jpn</v>
      </c>
    </row>
    <row r="24" spans="1:4">
      <c r="A24" s="135">
        <f>A23+1</f>
        <v>300002</v>
      </c>
      <c r="B24" s="129" t="s">
        <v>430</v>
      </c>
      <c r="C24" s="133" t="str">
        <f t="shared" si="0"/>
        <v>Eng300002</v>
      </c>
      <c r="D24" s="136" t="str">
        <f t="shared" si="1"/>
        <v>가죽 바지Jpn</v>
      </c>
    </row>
    <row r="25" spans="1:4">
      <c r="A25" s="135">
        <f t="shared" ref="A25:A28" si="4">A24+1</f>
        <v>300003</v>
      </c>
      <c r="B25" s="129" t="s">
        <v>431</v>
      </c>
      <c r="C25" s="133" t="str">
        <f t="shared" si="0"/>
        <v>Eng300003</v>
      </c>
      <c r="D25" s="136" t="str">
        <f t="shared" si="1"/>
        <v>고급 가죽 바지Jpn</v>
      </c>
    </row>
    <row r="26" spans="1:4">
      <c r="A26" s="135">
        <f t="shared" si="4"/>
        <v>300004</v>
      </c>
      <c r="B26" s="129" t="s">
        <v>432</v>
      </c>
      <c r="C26" s="133" t="str">
        <f t="shared" si="0"/>
        <v>Eng300004</v>
      </c>
      <c r="D26" s="136" t="str">
        <f t="shared" si="1"/>
        <v>튼튼한 가죽 바지Jpn</v>
      </c>
    </row>
    <row r="27" spans="1:4">
      <c r="A27" s="135">
        <f t="shared" si="4"/>
        <v>300005</v>
      </c>
      <c r="B27" s="129" t="s">
        <v>433</v>
      </c>
      <c r="C27" s="133" t="str">
        <f t="shared" si="0"/>
        <v>Eng300005</v>
      </c>
      <c r="D27" s="136" t="str">
        <f t="shared" si="1"/>
        <v>정강이싸개Jpn</v>
      </c>
    </row>
    <row r="28" spans="1:4">
      <c r="A28" s="135">
        <f t="shared" si="4"/>
        <v>300006</v>
      </c>
      <c r="B28" s="129" t="s">
        <v>434</v>
      </c>
      <c r="C28" s="133" t="str">
        <f t="shared" si="0"/>
        <v>Eng300006</v>
      </c>
      <c r="D28" s="136" t="str">
        <f t="shared" si="1"/>
        <v>공방일체Jpn</v>
      </c>
    </row>
    <row r="29" spans="1:4" s="137" customFormat="1">
      <c r="A29" s="130" t="s">
        <v>1296</v>
      </c>
      <c r="B29" s="118"/>
    </row>
    <row r="30" spans="1:4">
      <c r="A30" s="135">
        <v>400001</v>
      </c>
      <c r="B30" s="129" t="s">
        <v>435</v>
      </c>
      <c r="C30" s="133" t="str">
        <f t="shared" si="0"/>
        <v>Eng400001</v>
      </c>
      <c r="D30" s="136" t="str">
        <f t="shared" si="1"/>
        <v>저급 장갑Jpn</v>
      </c>
    </row>
    <row r="31" spans="1:4">
      <c r="A31" s="135">
        <f>A30+1</f>
        <v>400002</v>
      </c>
      <c r="B31" s="129" t="s">
        <v>436</v>
      </c>
      <c r="C31" s="133" t="str">
        <f t="shared" si="0"/>
        <v>Eng400002</v>
      </c>
      <c r="D31" s="136" t="str">
        <f t="shared" si="1"/>
        <v>장갑Jpn</v>
      </c>
    </row>
    <row r="32" spans="1:4">
      <c r="A32" s="135">
        <f t="shared" ref="A32:A35" si="5">A31+1</f>
        <v>400003</v>
      </c>
      <c r="B32" s="129" t="s">
        <v>437</v>
      </c>
      <c r="C32" s="133" t="str">
        <f t="shared" si="0"/>
        <v>Eng400003</v>
      </c>
      <c r="D32" s="136" t="str">
        <f t="shared" si="1"/>
        <v>고급 린넨 장갑Jpn</v>
      </c>
    </row>
    <row r="33" spans="1:4">
      <c r="A33" s="135">
        <f t="shared" si="5"/>
        <v>400004</v>
      </c>
      <c r="B33" s="129" t="s">
        <v>438</v>
      </c>
      <c r="C33" s="133" t="str">
        <f t="shared" si="0"/>
        <v>Eng400004</v>
      </c>
      <c r="D33" s="136" t="str">
        <f t="shared" si="1"/>
        <v>질긴 가죽 장갑Jpn</v>
      </c>
    </row>
    <row r="34" spans="1:4">
      <c r="A34" s="135">
        <f t="shared" si="5"/>
        <v>400005</v>
      </c>
      <c r="B34" s="129" t="s">
        <v>439</v>
      </c>
      <c r="C34" s="133" t="str">
        <f t="shared" si="0"/>
        <v>Eng400005</v>
      </c>
      <c r="D34" s="136" t="str">
        <f t="shared" si="1"/>
        <v>단단한 돌기Jpn</v>
      </c>
    </row>
    <row r="35" spans="1:4">
      <c r="A35" s="135">
        <f t="shared" si="5"/>
        <v>400006</v>
      </c>
      <c r="B35" s="129" t="s">
        <v>440</v>
      </c>
      <c r="C35" s="133" t="str">
        <f t="shared" si="0"/>
        <v>Eng400006</v>
      </c>
      <c r="D35" s="136" t="str">
        <f t="shared" si="1"/>
        <v>눈싸움Jpn</v>
      </c>
    </row>
    <row r="36" spans="1:4" s="137" customFormat="1">
      <c r="A36" s="130" t="s">
        <v>1297</v>
      </c>
      <c r="B36" s="118"/>
    </row>
    <row r="37" spans="1:4">
      <c r="A37" s="135">
        <v>500001</v>
      </c>
      <c r="B37" s="129" t="s">
        <v>441</v>
      </c>
      <c r="C37" s="133" t="str">
        <f t="shared" si="0"/>
        <v>Eng500001</v>
      </c>
      <c r="D37" s="136" t="str">
        <f t="shared" si="1"/>
        <v>저급 신발Jpn</v>
      </c>
    </row>
    <row r="38" spans="1:4">
      <c r="A38" s="135">
        <f>A37+1</f>
        <v>500002</v>
      </c>
      <c r="B38" s="129" t="s">
        <v>442</v>
      </c>
      <c r="C38" s="133" t="str">
        <f t="shared" si="0"/>
        <v>Eng500002</v>
      </c>
      <c r="D38" s="136" t="str">
        <f t="shared" si="1"/>
        <v>장화Jpn</v>
      </c>
    </row>
    <row r="39" spans="1:4">
      <c r="A39" s="135">
        <f t="shared" ref="A39:A42" si="6">A38+1</f>
        <v>500003</v>
      </c>
      <c r="B39" s="129" t="s">
        <v>443</v>
      </c>
      <c r="C39" s="133" t="str">
        <f t="shared" si="0"/>
        <v>Eng500003</v>
      </c>
      <c r="D39" s="136" t="str">
        <f t="shared" si="1"/>
        <v>고급 장화Jpn</v>
      </c>
    </row>
    <row r="40" spans="1:4">
      <c r="A40" s="135">
        <f t="shared" si="6"/>
        <v>500004</v>
      </c>
      <c r="B40" s="129" t="s">
        <v>444</v>
      </c>
      <c r="C40" s="133" t="str">
        <f t="shared" si="0"/>
        <v>Eng500004</v>
      </c>
      <c r="D40" s="136" t="str">
        <f t="shared" si="1"/>
        <v>편안한 가죽 장화Jpn</v>
      </c>
    </row>
    <row r="41" spans="1:4">
      <c r="A41" s="135">
        <f t="shared" si="6"/>
        <v>500005</v>
      </c>
      <c r="B41" s="129" t="s">
        <v>445</v>
      </c>
      <c r="C41" s="133" t="str">
        <f t="shared" si="0"/>
        <v>Eng500005</v>
      </c>
      <c r="D41" s="136" t="str">
        <f t="shared" si="1"/>
        <v>노을지는 하늘Jpn</v>
      </c>
    </row>
    <row r="42" spans="1:4">
      <c r="A42" s="135">
        <f t="shared" si="6"/>
        <v>500006</v>
      </c>
      <c r="B42" s="129" t="s">
        <v>446</v>
      </c>
      <c r="C42" s="133" t="str">
        <f t="shared" si="0"/>
        <v>Eng500006</v>
      </c>
      <c r="D42" s="136" t="str">
        <f t="shared" si="1"/>
        <v>한량Jpn</v>
      </c>
    </row>
    <row r="43" spans="1:4" s="137" customFormat="1">
      <c r="A43" s="130" t="s">
        <v>1298</v>
      </c>
      <c r="B43" s="118"/>
    </row>
    <row r="44" spans="1:4">
      <c r="A44" s="135">
        <v>600001</v>
      </c>
      <c r="B44" s="129" t="s">
        <v>447</v>
      </c>
      <c r="C44" s="133" t="str">
        <f t="shared" si="0"/>
        <v>Eng600001</v>
      </c>
      <c r="D44" s="136" t="str">
        <f t="shared" si="1"/>
        <v>갈라진 방패Jpn</v>
      </c>
    </row>
    <row r="45" spans="1:4">
      <c r="A45" s="135">
        <f>A44+1</f>
        <v>600002</v>
      </c>
      <c r="B45" s="129" t="s">
        <v>448</v>
      </c>
      <c r="C45" s="133" t="str">
        <f t="shared" si="0"/>
        <v>Eng600002</v>
      </c>
      <c r="D45" s="136" t="str">
        <f t="shared" si="1"/>
        <v>나무 방패Jpn</v>
      </c>
    </row>
    <row r="46" spans="1:4">
      <c r="A46" s="135">
        <f t="shared" ref="A46:A49" si="7">A45+1</f>
        <v>600003</v>
      </c>
      <c r="B46" s="129" t="s">
        <v>449</v>
      </c>
      <c r="C46" s="133" t="str">
        <f t="shared" si="0"/>
        <v>Eng600003</v>
      </c>
      <c r="D46" s="136" t="str">
        <f t="shared" si="1"/>
        <v>고급 버클러Jpn</v>
      </c>
    </row>
    <row r="47" spans="1:4">
      <c r="A47" s="135">
        <f t="shared" si="7"/>
        <v>600004</v>
      </c>
      <c r="B47" s="129" t="s">
        <v>450</v>
      </c>
      <c r="C47" s="133" t="str">
        <f t="shared" si="0"/>
        <v>Eng600004</v>
      </c>
      <c r="D47" s="136" t="str">
        <f t="shared" si="1"/>
        <v>빛나는 사각 방패Jpn</v>
      </c>
    </row>
    <row r="48" spans="1:4">
      <c r="A48" s="135">
        <f t="shared" si="7"/>
        <v>600005</v>
      </c>
      <c r="B48" s="129" t="s">
        <v>451</v>
      </c>
      <c r="C48" s="133" t="str">
        <f t="shared" si="0"/>
        <v>Eng600005</v>
      </c>
      <c r="D48" s="136" t="str">
        <f t="shared" si="1"/>
        <v>철벽방어Jpn</v>
      </c>
    </row>
    <row r="49" spans="1:4">
      <c r="A49" s="135">
        <f t="shared" si="7"/>
        <v>600006</v>
      </c>
      <c r="B49" s="129" t="s">
        <v>452</v>
      </c>
      <c r="C49" s="133" t="str">
        <f t="shared" si="0"/>
        <v>Eng600006</v>
      </c>
      <c r="D49" s="136" t="str">
        <f t="shared" si="1"/>
        <v>거절Jpn</v>
      </c>
    </row>
    <row r="50" spans="1:4" s="137" customFormat="1">
      <c r="A50" s="130" t="s">
        <v>1299</v>
      </c>
      <c r="B50" s="118"/>
    </row>
    <row r="51" spans="1:4">
      <c r="A51" s="135">
        <v>700001</v>
      </c>
      <c r="B51" s="129" t="s">
        <v>453</v>
      </c>
      <c r="C51" s="133" t="str">
        <f t="shared" si="0"/>
        <v>Eng700001</v>
      </c>
      <c r="D51" s="136" t="str">
        <f t="shared" si="1"/>
        <v>질 낮은 검Jpn</v>
      </c>
    </row>
    <row r="52" spans="1:4">
      <c r="A52" s="135">
        <f t="shared" ref="A52:A63" si="8">A51+1</f>
        <v>700002</v>
      </c>
      <c r="B52" s="129" t="s">
        <v>454</v>
      </c>
      <c r="C52" s="133" t="str">
        <f t="shared" si="0"/>
        <v>Eng700002</v>
      </c>
      <c r="D52" s="136" t="str">
        <f t="shared" si="1"/>
        <v>장검Jpn</v>
      </c>
    </row>
    <row r="53" spans="1:4">
      <c r="A53" s="135">
        <f t="shared" si="8"/>
        <v>700003</v>
      </c>
      <c r="B53" s="129" t="s">
        <v>455</v>
      </c>
      <c r="C53" s="133" t="str">
        <f t="shared" si="0"/>
        <v>Eng700003</v>
      </c>
      <c r="D53" s="136" t="str">
        <f t="shared" si="1"/>
        <v>고급 장검Jpn</v>
      </c>
    </row>
    <row r="54" spans="1:4">
      <c r="A54" s="135">
        <f t="shared" si="8"/>
        <v>700004</v>
      </c>
      <c r="B54" s="129" t="s">
        <v>456</v>
      </c>
      <c r="C54" s="133" t="str">
        <f t="shared" si="0"/>
        <v>Eng700004</v>
      </c>
      <c r="D54" s="136" t="str">
        <f t="shared" si="1"/>
        <v>빛나는 장검Jpn</v>
      </c>
    </row>
    <row r="55" spans="1:4">
      <c r="A55" s="135">
        <f t="shared" si="8"/>
        <v>700005</v>
      </c>
      <c r="B55" s="129" t="s">
        <v>457</v>
      </c>
      <c r="C55" s="133" t="str">
        <f t="shared" si="0"/>
        <v>Eng700005</v>
      </c>
      <c r="D55" s="136" t="str">
        <f t="shared" si="1"/>
        <v>음침한 장검Jpn</v>
      </c>
    </row>
    <row r="56" spans="1:4">
      <c r="A56" s="135">
        <f t="shared" si="8"/>
        <v>700006</v>
      </c>
      <c r="B56" s="129" t="s">
        <v>458</v>
      </c>
      <c r="C56" s="133" t="str">
        <f t="shared" si="0"/>
        <v>Eng700006</v>
      </c>
      <c r="D56" s="136" t="str">
        <f t="shared" si="1"/>
        <v>향긋한 장검Jpn</v>
      </c>
    </row>
    <row r="57" spans="1:4">
      <c r="A57" s="135">
        <f t="shared" si="8"/>
        <v>700007</v>
      </c>
      <c r="B57" s="129" t="s">
        <v>459</v>
      </c>
      <c r="C57" s="133" t="str">
        <f t="shared" si="0"/>
        <v>Eng700007</v>
      </c>
      <c r="D57" s="136" t="str">
        <f t="shared" si="1"/>
        <v>지나간 추억Jpn</v>
      </c>
    </row>
    <row r="58" spans="1:4">
      <c r="A58" s="135">
        <f t="shared" si="8"/>
        <v>700008</v>
      </c>
      <c r="B58" s="129" t="s">
        <v>460</v>
      </c>
      <c r="C58" s="133" t="str">
        <f t="shared" si="0"/>
        <v>Eng700008</v>
      </c>
      <c r="D58" s="136" t="str">
        <f t="shared" si="1"/>
        <v>부서진 모루Jpn</v>
      </c>
    </row>
    <row r="59" spans="1:4">
      <c r="A59" s="135">
        <f t="shared" si="8"/>
        <v>700009</v>
      </c>
      <c r="B59" s="129" t="s">
        <v>461</v>
      </c>
      <c r="C59" s="133" t="str">
        <f t="shared" si="0"/>
        <v>Eng700009</v>
      </c>
      <c r="D59" s="136" t="str">
        <f t="shared" si="1"/>
        <v>버려진 음모Jpn</v>
      </c>
    </row>
    <row r="60" spans="1:4">
      <c r="A60" s="135">
        <f t="shared" si="8"/>
        <v>700010</v>
      </c>
      <c r="B60" s="129" t="s">
        <v>462</v>
      </c>
      <c r="C60" s="133" t="str">
        <f t="shared" si="0"/>
        <v>Eng700010</v>
      </c>
      <c r="D60" s="136" t="str">
        <f t="shared" si="1"/>
        <v>날아간 기쁨Jpn</v>
      </c>
    </row>
    <row r="61" spans="1:4">
      <c r="A61" s="135">
        <f t="shared" si="8"/>
        <v>700011</v>
      </c>
      <c r="B61" s="129" t="s">
        <v>463</v>
      </c>
      <c r="C61" s="133" t="str">
        <f t="shared" si="0"/>
        <v>Eng700011</v>
      </c>
      <c r="D61" s="136" t="str">
        <f t="shared" si="1"/>
        <v>깨끗한 슬픔Jpn</v>
      </c>
    </row>
    <row r="62" spans="1:4">
      <c r="A62" s="135">
        <f t="shared" si="8"/>
        <v>700012</v>
      </c>
      <c r="B62" s="129" t="s">
        <v>464</v>
      </c>
      <c r="C62" s="133" t="str">
        <f t="shared" si="0"/>
        <v>Eng700012</v>
      </c>
      <c r="D62" s="136" t="str">
        <f t="shared" si="1"/>
        <v>우레폭풍Jpn</v>
      </c>
    </row>
    <row r="63" spans="1:4">
      <c r="A63" s="135">
        <f t="shared" si="8"/>
        <v>700013</v>
      </c>
      <c r="B63" s="129" t="s">
        <v>465</v>
      </c>
      <c r="C63" s="133" t="str">
        <f t="shared" si="0"/>
        <v>Eng700013</v>
      </c>
      <c r="D63" s="136" t="str">
        <f t="shared" si="1"/>
        <v>서리심장Jpn</v>
      </c>
    </row>
    <row r="64" spans="1:4" s="137" customFormat="1">
      <c r="A64" s="130" t="s">
        <v>1300</v>
      </c>
      <c r="B64" s="118"/>
    </row>
    <row r="65" spans="1:4">
      <c r="A65" s="135">
        <v>900001</v>
      </c>
      <c r="C65" s="133" t="str">
        <f t="shared" si="0"/>
        <v>Eng900001</v>
      </c>
      <c r="D65" s="136" t="str">
        <f t="shared" si="1"/>
        <v>Jpn</v>
      </c>
    </row>
    <row r="66" spans="1:4" s="137" customFormat="1">
      <c r="A66" s="130" t="s">
        <v>1301</v>
      </c>
      <c r="B66" s="118"/>
    </row>
    <row r="67" spans="1:4">
      <c r="A67" s="135">
        <v>1000001</v>
      </c>
      <c r="C67" s="133" t="str">
        <f t="shared" si="0"/>
        <v>Eng1000001</v>
      </c>
      <c r="D67" s="136" t="str">
        <f t="shared" si="1"/>
        <v>Jpn</v>
      </c>
    </row>
    <row r="68" spans="1:4" s="137" customFormat="1">
      <c r="A68" s="130" t="s">
        <v>1302</v>
      </c>
      <c r="B68" s="118"/>
    </row>
    <row r="69" spans="1:4">
      <c r="A69" s="135">
        <v>1100001</v>
      </c>
      <c r="C69" s="133" t="str">
        <f t="shared" si="0"/>
        <v>Eng1100001</v>
      </c>
      <c r="D69" s="136" t="str">
        <f t="shared" si="1"/>
        <v>Jpn</v>
      </c>
    </row>
    <row r="70" spans="1:4" s="137" customFormat="1">
      <c r="A70" s="130" t="s">
        <v>1303</v>
      </c>
      <c r="B70" s="118"/>
    </row>
    <row r="71" spans="1:4">
      <c r="A71" s="135">
        <v>1200001</v>
      </c>
      <c r="C71" s="133" t="str">
        <f t="shared" si="0"/>
        <v>Eng1200001</v>
      </c>
      <c r="D71" s="136" t="str">
        <f t="shared" si="1"/>
        <v>Jpn</v>
      </c>
    </row>
    <row r="72" spans="1:4" s="137" customFormat="1">
      <c r="A72" s="130" t="s">
        <v>1304</v>
      </c>
      <c r="B72" s="118"/>
    </row>
    <row r="73" spans="1:4">
      <c r="A73" s="135">
        <v>1400001</v>
      </c>
      <c r="C73" s="133" t="str">
        <f t="shared" si="0"/>
        <v>Eng1400001</v>
      </c>
      <c r="D73" s="136" t="str">
        <f t="shared" si="1"/>
        <v>Jpn</v>
      </c>
    </row>
    <row r="74" spans="1:4" s="137" customFormat="1">
      <c r="A74" s="130" t="s">
        <v>1305</v>
      </c>
      <c r="B74" s="118"/>
    </row>
    <row r="75" spans="1:4">
      <c r="A75" s="135">
        <v>1500001</v>
      </c>
      <c r="B75" s="115" t="s">
        <v>1126</v>
      </c>
      <c r="C75" s="133" t="str">
        <f t="shared" si="0"/>
        <v>Eng1500001</v>
      </c>
      <c r="D75" s="136" t="str">
        <f t="shared" si="1"/>
        <v>코볼트 채집꾼Jpn</v>
      </c>
    </row>
    <row r="76" spans="1:4">
      <c r="A76" s="135">
        <f>A75+1</f>
        <v>1500002</v>
      </c>
      <c r="B76" s="115" t="s">
        <v>1127</v>
      </c>
      <c r="C76" s="133" t="str">
        <f t="shared" si="0"/>
        <v>Eng1500002</v>
      </c>
      <c r="D76" s="136" t="str">
        <f t="shared" si="1"/>
        <v>코볼트 일꾼Jpn</v>
      </c>
    </row>
    <row r="77" spans="1:4">
      <c r="A77" s="135">
        <f t="shared" ref="A77:A95" si="9">A76+1</f>
        <v>1500003</v>
      </c>
      <c r="B77" s="115" t="s">
        <v>1128</v>
      </c>
      <c r="C77" s="133" t="str">
        <f t="shared" ref="C77:C121" si="10">"Eng"&amp;A77</f>
        <v>Eng1500003</v>
      </c>
      <c r="D77" s="136" t="str">
        <f t="shared" ref="D77:D121" si="11">B77&amp;"Jpn"</f>
        <v>코볼트 광부Jpn</v>
      </c>
    </row>
    <row r="78" spans="1:4">
      <c r="A78" s="135">
        <f t="shared" si="9"/>
        <v>1500004</v>
      </c>
      <c r="B78" s="115" t="s">
        <v>1129</v>
      </c>
      <c r="C78" s="133" t="str">
        <f t="shared" si="10"/>
        <v>Eng1500004</v>
      </c>
      <c r="D78" s="136" t="str">
        <f t="shared" si="11"/>
        <v>윌 오 더 위스프Jpn</v>
      </c>
    </row>
    <row r="79" spans="1:4">
      <c r="A79" s="135">
        <f t="shared" si="9"/>
        <v>1500005</v>
      </c>
      <c r="B79" s="129" t="s">
        <v>399</v>
      </c>
      <c r="C79" s="133" t="str">
        <f t="shared" si="10"/>
        <v>Eng1500005</v>
      </c>
      <c r="D79" s="136" t="str">
        <f t="shared" si="11"/>
        <v>콥스 캔들Jpn</v>
      </c>
    </row>
    <row r="80" spans="1:4">
      <c r="A80" s="135">
        <f t="shared" si="9"/>
        <v>1500006</v>
      </c>
      <c r="B80" s="129" t="s">
        <v>400</v>
      </c>
      <c r="C80" s="133" t="str">
        <f t="shared" si="10"/>
        <v>Eng1500006</v>
      </c>
      <c r="D80" s="136" t="str">
        <f t="shared" si="11"/>
        <v>메리 댄서Jpn</v>
      </c>
    </row>
    <row r="81" spans="1:4">
      <c r="A81" s="135">
        <f t="shared" si="9"/>
        <v>1500007</v>
      </c>
      <c r="B81" s="129" t="s">
        <v>401</v>
      </c>
      <c r="C81" s="133" t="str">
        <f t="shared" si="10"/>
        <v>Eng1500007</v>
      </c>
      <c r="D81" s="136" t="str">
        <f t="shared" si="11"/>
        <v>잭 오 랜턴Jpn</v>
      </c>
    </row>
    <row r="82" spans="1:4">
      <c r="A82" s="135">
        <f t="shared" si="9"/>
        <v>1500008</v>
      </c>
      <c r="B82" s="129" t="s">
        <v>402</v>
      </c>
      <c r="C82" s="133" t="str">
        <f t="shared" si="10"/>
        <v>Eng1500008</v>
      </c>
      <c r="D82" s="136" t="str">
        <f t="shared" si="11"/>
        <v>초보 강도Jpn</v>
      </c>
    </row>
    <row r="83" spans="1:4">
      <c r="A83" s="135">
        <f t="shared" si="9"/>
        <v>1500009</v>
      </c>
      <c r="B83" s="129" t="s">
        <v>403</v>
      </c>
      <c r="C83" s="133" t="str">
        <f t="shared" si="10"/>
        <v>Eng1500009</v>
      </c>
      <c r="D83" s="136" t="str">
        <f t="shared" si="11"/>
        <v>복면 강도Jpn</v>
      </c>
    </row>
    <row r="84" spans="1:4">
      <c r="A84" s="135">
        <f t="shared" si="9"/>
        <v>1500010</v>
      </c>
      <c r="B84" s="129" t="s">
        <v>404</v>
      </c>
      <c r="C84" s="133" t="str">
        <f t="shared" si="10"/>
        <v>Eng1500010</v>
      </c>
      <c r="D84" s="136" t="str">
        <f t="shared" si="11"/>
        <v>마적Jpn</v>
      </c>
    </row>
    <row r="85" spans="1:4">
      <c r="A85" s="135">
        <f t="shared" si="9"/>
        <v>1500011</v>
      </c>
      <c r="B85" s="129" t="s">
        <v>405</v>
      </c>
      <c r="C85" s="133" t="str">
        <f t="shared" si="10"/>
        <v>Eng1500011</v>
      </c>
      <c r="D85" s="136" t="str">
        <f t="shared" si="11"/>
        <v>마적 대장Jpn</v>
      </c>
    </row>
    <row r="86" spans="1:4">
      <c r="A86" s="135">
        <f t="shared" si="9"/>
        <v>1500012</v>
      </c>
      <c r="B86" s="129" t="s">
        <v>406</v>
      </c>
      <c r="C86" s="133" t="str">
        <f t="shared" si="10"/>
        <v>Eng1500012</v>
      </c>
      <c r="D86" s="136" t="str">
        <f t="shared" si="11"/>
        <v>은퇴한 병사Jpn</v>
      </c>
    </row>
    <row r="87" spans="1:4">
      <c r="A87" s="135">
        <f t="shared" si="9"/>
        <v>1500013</v>
      </c>
      <c r="B87" s="129" t="s">
        <v>262</v>
      </c>
      <c r="C87" s="133" t="str">
        <f t="shared" si="10"/>
        <v>Eng1500013</v>
      </c>
      <c r="D87" s="136" t="str">
        <f t="shared" si="11"/>
        <v>퇴역 기사Jpn</v>
      </c>
    </row>
    <row r="88" spans="1:4">
      <c r="A88" s="135">
        <f t="shared" si="9"/>
        <v>1500014</v>
      </c>
      <c r="B88" s="129" t="s">
        <v>407</v>
      </c>
      <c r="C88" s="133" t="str">
        <f t="shared" si="10"/>
        <v>Eng1500014</v>
      </c>
      <c r="D88" s="136" t="str">
        <f t="shared" si="11"/>
        <v>퇴역 장군Jpn</v>
      </c>
    </row>
    <row r="89" spans="1:4">
      <c r="A89" s="135">
        <f t="shared" si="9"/>
        <v>1500015</v>
      </c>
      <c r="B89" s="129" t="s">
        <v>408</v>
      </c>
      <c r="C89" s="133" t="str">
        <f t="shared" si="10"/>
        <v>Eng1500015</v>
      </c>
      <c r="D89" s="136" t="str">
        <f t="shared" si="11"/>
        <v>신입 여기사Jpn</v>
      </c>
    </row>
    <row r="90" spans="1:4">
      <c r="A90" s="135">
        <f t="shared" si="9"/>
        <v>1500016</v>
      </c>
      <c r="B90" s="129" t="s">
        <v>409</v>
      </c>
      <c r="C90" s="133" t="str">
        <f t="shared" si="10"/>
        <v>Eng1500016</v>
      </c>
      <c r="D90" s="136" t="str">
        <f t="shared" si="11"/>
        <v>노련한 여기사Jpn</v>
      </c>
    </row>
    <row r="91" spans="1:4">
      <c r="A91" s="135">
        <f t="shared" si="9"/>
        <v>1500017</v>
      </c>
      <c r="B91" s="129" t="s">
        <v>410</v>
      </c>
      <c r="C91" s="133" t="str">
        <f t="shared" si="10"/>
        <v>Eng1500017</v>
      </c>
      <c r="D91" s="136" t="str">
        <f t="shared" si="11"/>
        <v>부기사단장Jpn</v>
      </c>
    </row>
    <row r="92" spans="1:4">
      <c r="A92" s="135">
        <f t="shared" si="9"/>
        <v>1500018</v>
      </c>
      <c r="B92" s="129" t="s">
        <v>263</v>
      </c>
      <c r="C92" s="133" t="str">
        <f t="shared" si="10"/>
        <v>Eng1500018</v>
      </c>
      <c r="D92" s="136" t="str">
        <f t="shared" si="11"/>
        <v>그림자군단 군단병Jpn</v>
      </c>
    </row>
    <row r="93" spans="1:4">
      <c r="A93" s="135">
        <f t="shared" si="9"/>
        <v>1500019</v>
      </c>
      <c r="B93" s="129" t="s">
        <v>264</v>
      </c>
      <c r="C93" s="133" t="str">
        <f t="shared" si="10"/>
        <v>Eng1500019</v>
      </c>
      <c r="D93" s="136" t="str">
        <f t="shared" si="11"/>
        <v>그림자군단 중갑병Jpn</v>
      </c>
    </row>
    <row r="94" spans="1:4">
      <c r="A94" s="135">
        <f t="shared" si="9"/>
        <v>1500020</v>
      </c>
      <c r="B94" s="129" t="s">
        <v>265</v>
      </c>
      <c r="C94" s="133" t="str">
        <f t="shared" si="10"/>
        <v>Eng1500020</v>
      </c>
      <c r="D94" s="136" t="str">
        <f t="shared" si="11"/>
        <v>그림자군단 정찰병Jpn</v>
      </c>
    </row>
    <row r="95" spans="1:4">
      <c r="A95" s="135">
        <f t="shared" si="9"/>
        <v>1500021</v>
      </c>
      <c r="B95" s="129" t="s">
        <v>266</v>
      </c>
      <c r="C95" s="133" t="str">
        <f t="shared" si="10"/>
        <v>Eng1500021</v>
      </c>
      <c r="D95" s="136" t="str">
        <f t="shared" si="11"/>
        <v>그림자군단 사령관Jpn</v>
      </c>
    </row>
    <row r="96" spans="1:4" s="137" customFormat="1">
      <c r="A96" s="130" t="s">
        <v>1306</v>
      </c>
      <c r="B96" s="118"/>
    </row>
    <row r="97" spans="1:4">
      <c r="A97" s="135">
        <v>2000000</v>
      </c>
      <c r="B97" s="129" t="s">
        <v>1310</v>
      </c>
      <c r="C97" s="133" t="str">
        <f t="shared" si="10"/>
        <v>Eng2000000</v>
      </c>
      <c r="D97" s="136" t="str">
        <f t="shared" si="11"/>
        <v>일반 벽Jpn</v>
      </c>
    </row>
    <row r="98" spans="1:4">
      <c r="A98" s="135">
        <f>A97+1</f>
        <v>2000001</v>
      </c>
      <c r="B98" s="129" t="s">
        <v>1311</v>
      </c>
      <c r="C98" s="133" t="str">
        <f t="shared" si="10"/>
        <v>Eng2000001</v>
      </c>
      <c r="D98" s="136" t="str">
        <f t="shared" si="11"/>
        <v>일반 깨지는 벽Jpn</v>
      </c>
    </row>
    <row r="99" spans="1:4" s="137" customFormat="1">
      <c r="A99" s="130" t="s">
        <v>1307</v>
      </c>
      <c r="B99" s="118"/>
    </row>
    <row r="100" spans="1:4">
      <c r="A100" s="135">
        <v>2500001</v>
      </c>
      <c r="C100" s="133" t="str">
        <f t="shared" si="10"/>
        <v>Eng2500001</v>
      </c>
      <c r="D100" s="136" t="str">
        <f t="shared" si="11"/>
        <v>Jpn</v>
      </c>
    </row>
    <row r="101" spans="1:4" s="137" customFormat="1">
      <c r="A101" s="130" t="s">
        <v>1308</v>
      </c>
      <c r="B101" s="118"/>
    </row>
    <row r="102" spans="1:4">
      <c r="A102" s="135">
        <v>2700001</v>
      </c>
      <c r="C102" s="133" t="str">
        <f t="shared" si="10"/>
        <v>Eng2700001</v>
      </c>
      <c r="D102" s="136" t="str">
        <f t="shared" si="11"/>
        <v>Jpn</v>
      </c>
    </row>
    <row r="103" spans="1:4" s="137" customFormat="1">
      <c r="A103" s="130" t="s">
        <v>1309</v>
      </c>
      <c r="B103" s="118"/>
    </row>
    <row r="104" spans="1:4">
      <c r="A104" s="135">
        <v>3000001</v>
      </c>
      <c r="B104" s="115" t="s">
        <v>1130</v>
      </c>
      <c r="C104" s="133" t="str">
        <f t="shared" si="10"/>
        <v>Eng3000001</v>
      </c>
      <c r="D104" s="136" t="str">
        <f t="shared" si="11"/>
        <v>무기 숙련자Jpn</v>
      </c>
    </row>
    <row r="105" spans="1:4">
      <c r="A105" s="135">
        <f>A104+1</f>
        <v>3000002</v>
      </c>
      <c r="B105" s="115" t="s">
        <v>1131</v>
      </c>
      <c r="C105" s="133" t="str">
        <f t="shared" si="10"/>
        <v>Eng3000002</v>
      </c>
      <c r="D105" s="136" t="str">
        <f t="shared" si="11"/>
        <v>방어구 숙련자Jpn</v>
      </c>
    </row>
    <row r="106" spans="1:4">
      <c r="A106" s="135">
        <f t="shared" ref="A106:A108" si="12">A105+1</f>
        <v>3000003</v>
      </c>
      <c r="B106" s="115" t="s">
        <v>1132</v>
      </c>
      <c r="C106" s="133" t="str">
        <f t="shared" si="10"/>
        <v>Eng3000003</v>
      </c>
      <c r="D106" s="136" t="str">
        <f t="shared" si="11"/>
        <v>무자비Jpn</v>
      </c>
    </row>
    <row r="107" spans="1:4">
      <c r="A107" s="135">
        <f t="shared" si="12"/>
        <v>3000004</v>
      </c>
      <c r="B107" s="115" t="s">
        <v>1133</v>
      </c>
      <c r="C107" s="133" t="str">
        <f t="shared" si="10"/>
        <v>Eng3000004</v>
      </c>
      <c r="D107" s="136" t="str">
        <f t="shared" si="11"/>
        <v>물약 중독자Jpn</v>
      </c>
    </row>
    <row r="108" spans="1:4">
      <c r="A108" s="135">
        <f t="shared" si="12"/>
        <v>3000005</v>
      </c>
      <c r="B108" s="115" t="s">
        <v>1134</v>
      </c>
      <c r="C108" s="133" t="str">
        <f t="shared" si="10"/>
        <v>Eng3000005</v>
      </c>
      <c r="D108" s="136" t="str">
        <f t="shared" si="11"/>
        <v>싸움꾼Jpn</v>
      </c>
    </row>
    <row r="109" spans="1:4">
      <c r="A109" s="135">
        <f>A108+1</f>
        <v>3000006</v>
      </c>
      <c r="B109" s="115" t="s">
        <v>1135</v>
      </c>
      <c r="C109" s="133" t="str">
        <f t="shared" si="10"/>
        <v>Eng3000006</v>
      </c>
      <c r="D109" s="136" t="str">
        <f t="shared" si="11"/>
        <v>고블린 사냥꾼Jpn</v>
      </c>
    </row>
    <row r="110" spans="1:4">
      <c r="A110" s="135">
        <f t="shared" ref="A110:A114" si="13">A109+1</f>
        <v>3000007</v>
      </c>
      <c r="B110" s="115" t="s">
        <v>1136</v>
      </c>
      <c r="C110" s="133" t="str">
        <f t="shared" si="10"/>
        <v>Eng3000007</v>
      </c>
      <c r="D110" s="136" t="str">
        <f t="shared" si="11"/>
        <v>아둠의 지배자Jpn</v>
      </c>
    </row>
    <row r="111" spans="1:4">
      <c r="A111" s="135">
        <f t="shared" si="13"/>
        <v>3000008</v>
      </c>
      <c r="B111" s="115" t="s">
        <v>1137</v>
      </c>
      <c r="C111" s="133" t="str">
        <f t="shared" si="10"/>
        <v>Eng3000008</v>
      </c>
      <c r="D111" s="136" t="str">
        <f t="shared" si="11"/>
        <v>악마 사냥꾼Jpn</v>
      </c>
    </row>
    <row r="112" spans="1:4">
      <c r="A112" s="135">
        <f t="shared" si="13"/>
        <v>3000009</v>
      </c>
      <c r="B112" s="115" t="s">
        <v>1138</v>
      </c>
      <c r="C112" s="133" t="str">
        <f t="shared" si="10"/>
        <v>Eng3000009</v>
      </c>
      <c r="D112" s="136" t="str">
        <f t="shared" si="11"/>
        <v>전문 난투꾼Jpn</v>
      </c>
    </row>
    <row r="113" spans="1:4">
      <c r="A113" s="135">
        <f t="shared" si="13"/>
        <v>3000010</v>
      </c>
      <c r="B113" s="115" t="s">
        <v>1139</v>
      </c>
      <c r="C113" s="133" t="str">
        <f t="shared" si="10"/>
        <v>Eng3000010</v>
      </c>
      <c r="D113" s="136" t="str">
        <f t="shared" si="11"/>
        <v>이 쬐끄마한게!Jpn</v>
      </c>
    </row>
    <row r="114" spans="1:4">
      <c r="A114" s="135">
        <f t="shared" si="13"/>
        <v>3000011</v>
      </c>
      <c r="B114" s="115" t="s">
        <v>1140</v>
      </c>
      <c r="C114" s="133" t="str">
        <f t="shared" si="10"/>
        <v>Eng3000011</v>
      </c>
      <c r="D114" s="136" t="str">
        <f t="shared" si="11"/>
        <v>기본 공격Jpn</v>
      </c>
    </row>
    <row r="115" spans="1:4">
      <c r="A115" s="135">
        <f>A114+1</f>
        <v>3000012</v>
      </c>
      <c r="B115" s="115" t="s">
        <v>1141</v>
      </c>
      <c r="C115" s="133" t="str">
        <f t="shared" si="10"/>
        <v>Eng3000012</v>
      </c>
      <c r="D115" s="136" t="str">
        <f t="shared" si="11"/>
        <v>라이트닝 볼트Jpn</v>
      </c>
    </row>
    <row r="116" spans="1:4">
      <c r="A116" s="135">
        <f t="shared" ref="A116:A121" si="14">A115+1</f>
        <v>3000013</v>
      </c>
      <c r="B116" s="115" t="s">
        <v>1142</v>
      </c>
      <c r="C116" s="133" t="str">
        <f t="shared" si="10"/>
        <v>Eng3000013</v>
      </c>
      <c r="D116" s="136" t="str">
        <f t="shared" si="11"/>
        <v>에너지 볼트Jpn</v>
      </c>
    </row>
    <row r="117" spans="1:4">
      <c r="A117" s="135">
        <f t="shared" si="14"/>
        <v>3000014</v>
      </c>
      <c r="B117" s="115" t="s">
        <v>1143</v>
      </c>
      <c r="C117" s="133" t="str">
        <f t="shared" si="10"/>
        <v>Eng3000014</v>
      </c>
      <c r="D117" s="136" t="str">
        <f t="shared" si="11"/>
        <v>파이어 볼Jpn</v>
      </c>
    </row>
    <row r="118" spans="1:4">
      <c r="A118" s="135">
        <f t="shared" si="14"/>
        <v>3000015</v>
      </c>
      <c r="B118" s="115" t="s">
        <v>1144</v>
      </c>
      <c r="C118" s="133" t="str">
        <f t="shared" si="10"/>
        <v>Eng3000015</v>
      </c>
      <c r="D118" s="136" t="str">
        <f t="shared" si="11"/>
        <v>힐Jpn</v>
      </c>
    </row>
    <row r="119" spans="1:4">
      <c r="A119" s="135">
        <f t="shared" si="14"/>
        <v>3000016</v>
      </c>
      <c r="B119" s="115" t="s">
        <v>1145</v>
      </c>
      <c r="C119" s="133" t="str">
        <f t="shared" si="10"/>
        <v>Eng3000016</v>
      </c>
      <c r="D119" s="136" t="str">
        <f t="shared" si="11"/>
        <v>플래시 투 스톤Jpn</v>
      </c>
    </row>
    <row r="120" spans="1:4">
      <c r="A120" s="135">
        <f t="shared" si="14"/>
        <v>3000017</v>
      </c>
      <c r="B120" s="115" t="s">
        <v>1146</v>
      </c>
      <c r="C120" s="133" t="str">
        <f t="shared" si="10"/>
        <v>Eng3000017</v>
      </c>
      <c r="D120" s="136" t="str">
        <f t="shared" si="11"/>
        <v>메테오Jpn</v>
      </c>
    </row>
    <row r="121" spans="1:4">
      <c r="A121" s="135">
        <f t="shared" si="14"/>
        <v>3000018</v>
      </c>
      <c r="B121" s="115" t="s">
        <v>1147</v>
      </c>
      <c r="C121" s="133" t="str">
        <f t="shared" si="10"/>
        <v>Eng3000018</v>
      </c>
      <c r="D121" s="136" t="str">
        <f t="shared" si="11"/>
        <v>디멘션 컷Jpn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9">
    <tabColor rgb="FF92D050"/>
  </sheetPr>
  <dimension ref="A1:F247"/>
  <sheetViews>
    <sheetView workbookViewId="0">
      <selection activeCell="D2" sqref="D2"/>
    </sheetView>
  </sheetViews>
  <sheetFormatPr defaultRowHeight="13.5"/>
  <cols>
    <col min="1" max="1" width="9" style="135"/>
    <col min="2" max="2" width="11.25" style="202" bestFit="1" customWidth="1"/>
    <col min="3" max="3" width="9" style="135"/>
    <col min="4" max="5" width="11.25" style="135" bestFit="1" customWidth="1"/>
    <col min="6" max="6" width="9" style="200"/>
    <col min="7" max="16384" width="9" style="135"/>
  </cols>
  <sheetData>
    <row r="1" spans="1:6" s="193" customFormat="1">
      <c r="A1" s="134" t="s">
        <v>840</v>
      </c>
      <c r="B1" s="203" t="s">
        <v>1388</v>
      </c>
      <c r="C1" s="134" t="s">
        <v>1375</v>
      </c>
      <c r="D1" s="134" t="s">
        <v>1363</v>
      </c>
      <c r="E1" s="134" t="s">
        <v>1362</v>
      </c>
      <c r="F1" s="198" t="s">
        <v>1409</v>
      </c>
    </row>
    <row r="2" spans="1:6" s="193" customFormat="1">
      <c r="A2" s="134" t="s">
        <v>1122</v>
      </c>
      <c r="B2" s="204" t="s">
        <v>1389</v>
      </c>
      <c r="C2" s="134" t="s">
        <v>1390</v>
      </c>
      <c r="D2" s="134" t="s">
        <v>1391</v>
      </c>
      <c r="E2" s="134" t="s">
        <v>1392</v>
      </c>
      <c r="F2" s="198"/>
    </row>
    <row r="3" spans="1:6" s="193" customFormat="1">
      <c r="A3" s="134" t="s">
        <v>670</v>
      </c>
      <c r="B3" s="204" t="s">
        <v>1378</v>
      </c>
      <c r="C3" s="134" t="s">
        <v>1378</v>
      </c>
      <c r="D3" s="134" t="s">
        <v>1241</v>
      </c>
      <c r="E3" s="134" t="s">
        <v>1241</v>
      </c>
      <c r="F3" s="198"/>
    </row>
    <row r="4" spans="1:6" s="196" customFormat="1">
      <c r="A4" s="195" t="s">
        <v>1393</v>
      </c>
      <c r="B4" s="201"/>
      <c r="C4" s="195"/>
      <c r="D4" s="195"/>
      <c r="E4" s="195"/>
      <c r="F4" s="199"/>
    </row>
    <row r="5" spans="1:6" s="196" customFormat="1">
      <c r="A5" s="195" t="s">
        <v>1407</v>
      </c>
      <c r="B5" s="201"/>
      <c r="C5" s="195"/>
      <c r="D5" s="195"/>
      <c r="E5" s="195"/>
      <c r="F5" s="199"/>
    </row>
    <row r="6" spans="1:6" s="196" customFormat="1">
      <c r="A6" s="195" t="s">
        <v>1408</v>
      </c>
      <c r="B6" s="201"/>
      <c r="C6" s="195"/>
      <c r="D6" s="195"/>
      <c r="E6" s="195"/>
      <c r="F6" s="199"/>
    </row>
    <row r="7" spans="1:6" s="196" customFormat="1">
      <c r="A7" s="195" t="s">
        <v>1424</v>
      </c>
      <c r="B7" s="201"/>
      <c r="C7" s="195"/>
      <c r="D7" s="195"/>
      <c r="E7" s="195"/>
      <c r="F7" s="199"/>
    </row>
    <row r="8" spans="1:6">
      <c r="A8" s="135">
        <v>1</v>
      </c>
      <c r="B8" s="202" t="s">
        <v>1394</v>
      </c>
      <c r="C8" s="135" t="s">
        <v>1376</v>
      </c>
      <c r="D8" s="135" t="s">
        <v>1384</v>
      </c>
      <c r="E8" s="135" t="s">
        <v>1361</v>
      </c>
      <c r="F8" s="200" t="str">
        <f>IF(A8="","","-")</f>
        <v>-</v>
      </c>
    </row>
    <row r="9" spans="1:6">
      <c r="A9" s="135">
        <f>A8+1</f>
        <v>2</v>
      </c>
      <c r="B9" s="202" t="s">
        <v>1395</v>
      </c>
      <c r="C9" s="135" t="s">
        <v>1377</v>
      </c>
      <c r="D9" s="135" t="s">
        <v>1385</v>
      </c>
      <c r="E9" s="135" t="s">
        <v>1364</v>
      </c>
      <c r="F9" s="200" t="str">
        <f t="shared" ref="F9:F72" si="0">IF(A9="","","-")</f>
        <v>-</v>
      </c>
    </row>
    <row r="10" spans="1:6">
      <c r="A10" s="135">
        <f t="shared" ref="A10:A13" si="1">A9+1</f>
        <v>3</v>
      </c>
      <c r="B10" s="202" t="s">
        <v>1396</v>
      </c>
      <c r="C10" s="135" t="s">
        <v>1383</v>
      </c>
      <c r="D10" s="135" t="s">
        <v>1372</v>
      </c>
      <c r="E10" s="135" t="s">
        <v>1365</v>
      </c>
      <c r="F10" s="200" t="str">
        <f t="shared" si="0"/>
        <v>-</v>
      </c>
    </row>
    <row r="11" spans="1:6">
      <c r="A11" s="135">
        <f t="shared" si="1"/>
        <v>4</v>
      </c>
      <c r="B11" s="202" t="s">
        <v>1397</v>
      </c>
      <c r="E11" s="135" t="s">
        <v>1366</v>
      </c>
      <c r="F11" s="200" t="str">
        <f t="shared" si="0"/>
        <v>-</v>
      </c>
    </row>
    <row r="12" spans="1:6">
      <c r="A12" s="135">
        <f t="shared" si="1"/>
        <v>5</v>
      </c>
      <c r="B12" s="202" t="s">
        <v>1398</v>
      </c>
      <c r="E12" s="135" t="s">
        <v>1367</v>
      </c>
      <c r="F12" s="200" t="str">
        <f t="shared" si="0"/>
        <v>-</v>
      </c>
    </row>
    <row r="13" spans="1:6">
      <c r="A13" s="135">
        <f t="shared" si="1"/>
        <v>6</v>
      </c>
      <c r="B13" s="202" t="s">
        <v>1399</v>
      </c>
      <c r="E13" s="135" t="s">
        <v>1368</v>
      </c>
      <c r="F13" s="200" t="str">
        <f t="shared" si="0"/>
        <v>-</v>
      </c>
    </row>
    <row r="14" spans="1:6">
      <c r="A14" s="135">
        <f>A13+1</f>
        <v>7</v>
      </c>
      <c r="B14" s="202" t="s">
        <v>1400</v>
      </c>
      <c r="E14" s="135" t="s">
        <v>1369</v>
      </c>
      <c r="F14" s="200" t="str">
        <f t="shared" si="0"/>
        <v>-</v>
      </c>
    </row>
    <row r="15" spans="1:6">
      <c r="A15" s="135">
        <f t="shared" ref="A15:A22" si="2">A14+1</f>
        <v>8</v>
      </c>
      <c r="B15" s="202" t="s">
        <v>1401</v>
      </c>
      <c r="E15" s="135" t="s">
        <v>1370</v>
      </c>
      <c r="F15" s="200" t="str">
        <f t="shared" si="0"/>
        <v>-</v>
      </c>
    </row>
    <row r="16" spans="1:6">
      <c r="A16" s="135">
        <f t="shared" si="2"/>
        <v>9</v>
      </c>
      <c r="B16" s="202" t="s">
        <v>1402</v>
      </c>
      <c r="E16" s="135" t="s">
        <v>1386</v>
      </c>
      <c r="F16" s="200" t="str">
        <f t="shared" si="0"/>
        <v>-</v>
      </c>
    </row>
    <row r="17" spans="1:6">
      <c r="A17" s="135">
        <f t="shared" si="2"/>
        <v>10</v>
      </c>
      <c r="B17" s="202" t="s">
        <v>1403</v>
      </c>
      <c r="E17" s="135" t="s">
        <v>1371</v>
      </c>
      <c r="F17" s="200" t="str">
        <f t="shared" si="0"/>
        <v>-</v>
      </c>
    </row>
    <row r="18" spans="1:6">
      <c r="A18" s="135">
        <f t="shared" si="2"/>
        <v>11</v>
      </c>
      <c r="B18" s="202" t="s">
        <v>1404</v>
      </c>
      <c r="F18" s="200" t="str">
        <f t="shared" si="0"/>
        <v>-</v>
      </c>
    </row>
    <row r="19" spans="1:6">
      <c r="A19" s="135">
        <f t="shared" si="2"/>
        <v>12</v>
      </c>
      <c r="B19" s="202" t="s">
        <v>1405</v>
      </c>
      <c r="F19" s="200" t="str">
        <f t="shared" si="0"/>
        <v>-</v>
      </c>
    </row>
    <row r="20" spans="1:6">
      <c r="A20" s="135">
        <f t="shared" si="2"/>
        <v>13</v>
      </c>
      <c r="B20" s="202" t="s">
        <v>1406</v>
      </c>
      <c r="F20" s="200" t="str">
        <f t="shared" si="0"/>
        <v>-</v>
      </c>
    </row>
    <row r="21" spans="1:6">
      <c r="A21" s="135">
        <f t="shared" si="2"/>
        <v>14</v>
      </c>
      <c r="B21" s="202" t="s">
        <v>1422</v>
      </c>
      <c r="F21" s="200" t="str">
        <f t="shared" si="0"/>
        <v>-</v>
      </c>
    </row>
    <row r="22" spans="1:6">
      <c r="A22" s="135">
        <f t="shared" si="2"/>
        <v>15</v>
      </c>
      <c r="B22" s="202" t="s">
        <v>1423</v>
      </c>
      <c r="F22" s="200" t="str">
        <f t="shared" si="0"/>
        <v>-</v>
      </c>
    </row>
    <row r="23" spans="1:6">
      <c r="F23" s="200" t="str">
        <f t="shared" si="0"/>
        <v/>
      </c>
    </row>
    <row r="24" spans="1:6">
      <c r="F24" s="200" t="str">
        <f t="shared" si="0"/>
        <v/>
      </c>
    </row>
    <row r="25" spans="1:6">
      <c r="F25" s="200" t="str">
        <f t="shared" si="0"/>
        <v/>
      </c>
    </row>
    <row r="26" spans="1:6">
      <c r="F26" s="200" t="str">
        <f t="shared" si="0"/>
        <v/>
      </c>
    </row>
    <row r="27" spans="1:6">
      <c r="F27" s="200" t="str">
        <f t="shared" si="0"/>
        <v/>
      </c>
    </row>
    <row r="28" spans="1:6">
      <c r="F28" s="200" t="str">
        <f t="shared" si="0"/>
        <v/>
      </c>
    </row>
    <row r="29" spans="1:6">
      <c r="F29" s="200" t="str">
        <f t="shared" si="0"/>
        <v/>
      </c>
    </row>
    <row r="30" spans="1:6">
      <c r="F30" s="200" t="str">
        <f t="shared" si="0"/>
        <v/>
      </c>
    </row>
    <row r="31" spans="1:6">
      <c r="F31" s="200" t="str">
        <f t="shared" si="0"/>
        <v/>
      </c>
    </row>
    <row r="32" spans="1:6">
      <c r="F32" s="200" t="str">
        <f t="shared" si="0"/>
        <v/>
      </c>
    </row>
    <row r="33" spans="6:6">
      <c r="F33" s="200" t="str">
        <f t="shared" si="0"/>
        <v/>
      </c>
    </row>
    <row r="34" spans="6:6">
      <c r="F34" s="200" t="str">
        <f t="shared" si="0"/>
        <v/>
      </c>
    </row>
    <row r="35" spans="6:6">
      <c r="F35" s="200" t="str">
        <f t="shared" si="0"/>
        <v/>
      </c>
    </row>
    <row r="36" spans="6:6">
      <c r="F36" s="200" t="str">
        <f t="shared" si="0"/>
        <v/>
      </c>
    </row>
    <row r="37" spans="6:6">
      <c r="F37" s="200" t="str">
        <f t="shared" si="0"/>
        <v/>
      </c>
    </row>
    <row r="38" spans="6:6">
      <c r="F38" s="200" t="str">
        <f t="shared" si="0"/>
        <v/>
      </c>
    </row>
    <row r="39" spans="6:6">
      <c r="F39" s="200" t="str">
        <f t="shared" si="0"/>
        <v/>
      </c>
    </row>
    <row r="40" spans="6:6">
      <c r="F40" s="200" t="str">
        <f t="shared" si="0"/>
        <v/>
      </c>
    </row>
    <row r="41" spans="6:6">
      <c r="F41" s="200" t="str">
        <f t="shared" si="0"/>
        <v/>
      </c>
    </row>
    <row r="42" spans="6:6">
      <c r="F42" s="200" t="str">
        <f t="shared" si="0"/>
        <v/>
      </c>
    </row>
    <row r="43" spans="6:6">
      <c r="F43" s="200" t="str">
        <f t="shared" si="0"/>
        <v/>
      </c>
    </row>
    <row r="44" spans="6:6">
      <c r="F44" s="200" t="str">
        <f t="shared" si="0"/>
        <v/>
      </c>
    </row>
    <row r="45" spans="6:6">
      <c r="F45" s="200" t="str">
        <f t="shared" si="0"/>
        <v/>
      </c>
    </row>
    <row r="46" spans="6:6">
      <c r="F46" s="200" t="str">
        <f t="shared" si="0"/>
        <v/>
      </c>
    </row>
    <row r="47" spans="6:6">
      <c r="F47" s="200" t="str">
        <f t="shared" si="0"/>
        <v/>
      </c>
    </row>
    <row r="48" spans="6:6">
      <c r="F48" s="200" t="str">
        <f t="shared" si="0"/>
        <v/>
      </c>
    </row>
    <row r="49" spans="6:6">
      <c r="F49" s="200" t="str">
        <f t="shared" si="0"/>
        <v/>
      </c>
    </row>
    <row r="50" spans="6:6">
      <c r="F50" s="200" t="str">
        <f t="shared" si="0"/>
        <v/>
      </c>
    </row>
    <row r="51" spans="6:6">
      <c r="F51" s="200" t="str">
        <f t="shared" si="0"/>
        <v/>
      </c>
    </row>
    <row r="52" spans="6:6">
      <c r="F52" s="200" t="str">
        <f t="shared" si="0"/>
        <v/>
      </c>
    </row>
    <row r="53" spans="6:6">
      <c r="F53" s="200" t="str">
        <f t="shared" si="0"/>
        <v/>
      </c>
    </row>
    <row r="54" spans="6:6">
      <c r="F54" s="200" t="str">
        <f t="shared" si="0"/>
        <v/>
      </c>
    </row>
    <row r="55" spans="6:6">
      <c r="F55" s="200" t="str">
        <f t="shared" si="0"/>
        <v/>
      </c>
    </row>
    <row r="56" spans="6:6">
      <c r="F56" s="200" t="str">
        <f t="shared" si="0"/>
        <v/>
      </c>
    </row>
    <row r="57" spans="6:6">
      <c r="F57" s="200" t="str">
        <f t="shared" si="0"/>
        <v/>
      </c>
    </row>
    <row r="58" spans="6:6">
      <c r="F58" s="200" t="str">
        <f t="shared" si="0"/>
        <v/>
      </c>
    </row>
    <row r="59" spans="6:6">
      <c r="F59" s="200" t="str">
        <f t="shared" si="0"/>
        <v/>
      </c>
    </row>
    <row r="60" spans="6:6">
      <c r="F60" s="200" t="str">
        <f t="shared" si="0"/>
        <v/>
      </c>
    </row>
    <row r="61" spans="6:6">
      <c r="F61" s="200" t="str">
        <f t="shared" si="0"/>
        <v/>
      </c>
    </row>
    <row r="62" spans="6:6">
      <c r="F62" s="200" t="str">
        <f t="shared" si="0"/>
        <v/>
      </c>
    </row>
    <row r="63" spans="6:6">
      <c r="F63" s="200" t="str">
        <f t="shared" si="0"/>
        <v/>
      </c>
    </row>
    <row r="64" spans="6:6">
      <c r="F64" s="200" t="str">
        <f t="shared" si="0"/>
        <v/>
      </c>
    </row>
    <row r="65" spans="6:6">
      <c r="F65" s="200" t="str">
        <f t="shared" si="0"/>
        <v/>
      </c>
    </row>
    <row r="66" spans="6:6">
      <c r="F66" s="200" t="str">
        <f t="shared" si="0"/>
        <v/>
      </c>
    </row>
    <row r="67" spans="6:6">
      <c r="F67" s="200" t="str">
        <f t="shared" si="0"/>
        <v/>
      </c>
    </row>
    <row r="68" spans="6:6">
      <c r="F68" s="200" t="str">
        <f t="shared" si="0"/>
        <v/>
      </c>
    </row>
    <row r="69" spans="6:6">
      <c r="F69" s="200" t="str">
        <f t="shared" si="0"/>
        <v/>
      </c>
    </row>
    <row r="70" spans="6:6">
      <c r="F70" s="200" t="str">
        <f t="shared" si="0"/>
        <v/>
      </c>
    </row>
    <row r="71" spans="6:6">
      <c r="F71" s="200" t="str">
        <f t="shared" si="0"/>
        <v/>
      </c>
    </row>
    <row r="72" spans="6:6">
      <c r="F72" s="200" t="str">
        <f t="shared" si="0"/>
        <v/>
      </c>
    </row>
    <row r="73" spans="6:6">
      <c r="F73" s="200" t="str">
        <f t="shared" ref="F73:F136" si="3">IF(A73="","","-")</f>
        <v/>
      </c>
    </row>
    <row r="74" spans="6:6">
      <c r="F74" s="200" t="str">
        <f t="shared" si="3"/>
        <v/>
      </c>
    </row>
    <row r="75" spans="6:6">
      <c r="F75" s="200" t="str">
        <f t="shared" si="3"/>
        <v/>
      </c>
    </row>
    <row r="76" spans="6:6">
      <c r="F76" s="200" t="str">
        <f t="shared" si="3"/>
        <v/>
      </c>
    </row>
    <row r="77" spans="6:6">
      <c r="F77" s="200" t="str">
        <f t="shared" si="3"/>
        <v/>
      </c>
    </row>
    <row r="78" spans="6:6">
      <c r="F78" s="200" t="str">
        <f t="shared" si="3"/>
        <v/>
      </c>
    </row>
    <row r="79" spans="6:6">
      <c r="F79" s="200" t="str">
        <f t="shared" si="3"/>
        <v/>
      </c>
    </row>
    <row r="80" spans="6:6">
      <c r="F80" s="200" t="str">
        <f t="shared" si="3"/>
        <v/>
      </c>
    </row>
    <row r="81" spans="6:6">
      <c r="F81" s="200" t="str">
        <f t="shared" si="3"/>
        <v/>
      </c>
    </row>
    <row r="82" spans="6:6">
      <c r="F82" s="200" t="str">
        <f t="shared" si="3"/>
        <v/>
      </c>
    </row>
    <row r="83" spans="6:6">
      <c r="F83" s="200" t="str">
        <f t="shared" si="3"/>
        <v/>
      </c>
    </row>
    <row r="84" spans="6:6">
      <c r="F84" s="200" t="str">
        <f t="shared" si="3"/>
        <v/>
      </c>
    </row>
    <row r="85" spans="6:6">
      <c r="F85" s="200" t="str">
        <f t="shared" si="3"/>
        <v/>
      </c>
    </row>
    <row r="86" spans="6:6">
      <c r="F86" s="200" t="str">
        <f t="shared" si="3"/>
        <v/>
      </c>
    </row>
    <row r="87" spans="6:6">
      <c r="F87" s="200" t="str">
        <f t="shared" si="3"/>
        <v/>
      </c>
    </row>
    <row r="88" spans="6:6">
      <c r="F88" s="200" t="str">
        <f t="shared" si="3"/>
        <v/>
      </c>
    </row>
    <row r="89" spans="6:6">
      <c r="F89" s="200" t="str">
        <f t="shared" si="3"/>
        <v/>
      </c>
    </row>
    <row r="90" spans="6:6">
      <c r="F90" s="200" t="str">
        <f t="shared" si="3"/>
        <v/>
      </c>
    </row>
    <row r="91" spans="6:6">
      <c r="F91" s="200" t="str">
        <f t="shared" si="3"/>
        <v/>
      </c>
    </row>
    <row r="92" spans="6:6">
      <c r="F92" s="200" t="str">
        <f t="shared" si="3"/>
        <v/>
      </c>
    </row>
    <row r="93" spans="6:6">
      <c r="F93" s="200" t="str">
        <f t="shared" si="3"/>
        <v/>
      </c>
    </row>
    <row r="94" spans="6:6">
      <c r="F94" s="200" t="str">
        <f t="shared" si="3"/>
        <v/>
      </c>
    </row>
    <row r="95" spans="6:6">
      <c r="F95" s="200" t="str">
        <f t="shared" si="3"/>
        <v/>
      </c>
    </row>
    <row r="96" spans="6:6">
      <c r="F96" s="200" t="str">
        <f t="shared" si="3"/>
        <v/>
      </c>
    </row>
    <row r="97" spans="6:6">
      <c r="F97" s="200" t="str">
        <f t="shared" si="3"/>
        <v/>
      </c>
    </row>
    <row r="98" spans="6:6">
      <c r="F98" s="200" t="str">
        <f t="shared" si="3"/>
        <v/>
      </c>
    </row>
    <row r="99" spans="6:6">
      <c r="F99" s="200" t="str">
        <f t="shared" si="3"/>
        <v/>
      </c>
    </row>
    <row r="100" spans="6:6">
      <c r="F100" s="200" t="str">
        <f t="shared" si="3"/>
        <v/>
      </c>
    </row>
    <row r="101" spans="6:6">
      <c r="F101" s="200" t="str">
        <f t="shared" si="3"/>
        <v/>
      </c>
    </row>
    <row r="102" spans="6:6">
      <c r="F102" s="200" t="str">
        <f t="shared" si="3"/>
        <v/>
      </c>
    </row>
    <row r="103" spans="6:6">
      <c r="F103" s="200" t="str">
        <f t="shared" si="3"/>
        <v/>
      </c>
    </row>
    <row r="104" spans="6:6">
      <c r="F104" s="200" t="str">
        <f t="shared" si="3"/>
        <v/>
      </c>
    </row>
    <row r="105" spans="6:6">
      <c r="F105" s="200" t="str">
        <f t="shared" si="3"/>
        <v/>
      </c>
    </row>
    <row r="106" spans="6:6">
      <c r="F106" s="200" t="str">
        <f t="shared" si="3"/>
        <v/>
      </c>
    </row>
    <row r="107" spans="6:6">
      <c r="F107" s="200" t="str">
        <f t="shared" si="3"/>
        <v/>
      </c>
    </row>
    <row r="108" spans="6:6">
      <c r="F108" s="200" t="str">
        <f t="shared" si="3"/>
        <v/>
      </c>
    </row>
    <row r="109" spans="6:6">
      <c r="F109" s="200" t="str">
        <f t="shared" si="3"/>
        <v/>
      </c>
    </row>
    <row r="110" spans="6:6">
      <c r="F110" s="200" t="str">
        <f t="shared" si="3"/>
        <v/>
      </c>
    </row>
    <row r="111" spans="6:6">
      <c r="F111" s="200" t="str">
        <f t="shared" si="3"/>
        <v/>
      </c>
    </row>
    <row r="112" spans="6:6">
      <c r="F112" s="200" t="str">
        <f t="shared" si="3"/>
        <v/>
      </c>
    </row>
    <row r="113" spans="6:6">
      <c r="F113" s="200" t="str">
        <f t="shared" si="3"/>
        <v/>
      </c>
    </row>
    <row r="114" spans="6:6">
      <c r="F114" s="200" t="str">
        <f t="shared" si="3"/>
        <v/>
      </c>
    </row>
    <row r="115" spans="6:6">
      <c r="F115" s="200" t="str">
        <f t="shared" si="3"/>
        <v/>
      </c>
    </row>
    <row r="116" spans="6:6">
      <c r="F116" s="200" t="str">
        <f t="shared" si="3"/>
        <v/>
      </c>
    </row>
    <row r="117" spans="6:6">
      <c r="F117" s="200" t="str">
        <f t="shared" si="3"/>
        <v/>
      </c>
    </row>
    <row r="118" spans="6:6">
      <c r="F118" s="200" t="str">
        <f t="shared" si="3"/>
        <v/>
      </c>
    </row>
    <row r="119" spans="6:6">
      <c r="F119" s="200" t="str">
        <f t="shared" si="3"/>
        <v/>
      </c>
    </row>
    <row r="120" spans="6:6">
      <c r="F120" s="200" t="str">
        <f t="shared" si="3"/>
        <v/>
      </c>
    </row>
    <row r="121" spans="6:6">
      <c r="F121" s="200" t="str">
        <f t="shared" si="3"/>
        <v/>
      </c>
    </row>
    <row r="122" spans="6:6">
      <c r="F122" s="200" t="str">
        <f t="shared" si="3"/>
        <v/>
      </c>
    </row>
    <row r="123" spans="6:6">
      <c r="F123" s="200" t="str">
        <f t="shared" si="3"/>
        <v/>
      </c>
    </row>
    <row r="124" spans="6:6">
      <c r="F124" s="200" t="str">
        <f t="shared" si="3"/>
        <v/>
      </c>
    </row>
    <row r="125" spans="6:6">
      <c r="F125" s="200" t="str">
        <f t="shared" si="3"/>
        <v/>
      </c>
    </row>
    <row r="126" spans="6:6">
      <c r="F126" s="200" t="str">
        <f t="shared" si="3"/>
        <v/>
      </c>
    </row>
    <row r="127" spans="6:6">
      <c r="F127" s="200" t="str">
        <f t="shared" si="3"/>
        <v/>
      </c>
    </row>
    <row r="128" spans="6:6">
      <c r="F128" s="200" t="str">
        <f t="shared" si="3"/>
        <v/>
      </c>
    </row>
    <row r="129" spans="6:6">
      <c r="F129" s="200" t="str">
        <f t="shared" si="3"/>
        <v/>
      </c>
    </row>
    <row r="130" spans="6:6">
      <c r="F130" s="200" t="str">
        <f t="shared" si="3"/>
        <v/>
      </c>
    </row>
    <row r="131" spans="6:6">
      <c r="F131" s="200" t="str">
        <f t="shared" si="3"/>
        <v/>
      </c>
    </row>
    <row r="132" spans="6:6">
      <c r="F132" s="200" t="str">
        <f t="shared" si="3"/>
        <v/>
      </c>
    </row>
    <row r="133" spans="6:6">
      <c r="F133" s="200" t="str">
        <f t="shared" si="3"/>
        <v/>
      </c>
    </row>
    <row r="134" spans="6:6">
      <c r="F134" s="200" t="str">
        <f t="shared" si="3"/>
        <v/>
      </c>
    </row>
    <row r="135" spans="6:6">
      <c r="F135" s="200" t="str">
        <f t="shared" si="3"/>
        <v/>
      </c>
    </row>
    <row r="136" spans="6:6">
      <c r="F136" s="200" t="str">
        <f t="shared" si="3"/>
        <v/>
      </c>
    </row>
    <row r="137" spans="6:6">
      <c r="F137" s="200" t="str">
        <f t="shared" ref="F137:F200" si="4">IF(A137="","","-")</f>
        <v/>
      </c>
    </row>
    <row r="138" spans="6:6">
      <c r="F138" s="200" t="str">
        <f t="shared" si="4"/>
        <v/>
      </c>
    </row>
    <row r="139" spans="6:6">
      <c r="F139" s="200" t="str">
        <f t="shared" si="4"/>
        <v/>
      </c>
    </row>
    <row r="140" spans="6:6">
      <c r="F140" s="200" t="str">
        <f t="shared" si="4"/>
        <v/>
      </c>
    </row>
    <row r="141" spans="6:6">
      <c r="F141" s="200" t="str">
        <f t="shared" si="4"/>
        <v/>
      </c>
    </row>
    <row r="142" spans="6:6">
      <c r="F142" s="200" t="str">
        <f t="shared" si="4"/>
        <v/>
      </c>
    </row>
    <row r="143" spans="6:6">
      <c r="F143" s="200" t="str">
        <f t="shared" si="4"/>
        <v/>
      </c>
    </row>
    <row r="144" spans="6:6">
      <c r="F144" s="200" t="str">
        <f t="shared" si="4"/>
        <v/>
      </c>
    </row>
    <row r="145" spans="6:6">
      <c r="F145" s="200" t="str">
        <f t="shared" si="4"/>
        <v/>
      </c>
    </row>
    <row r="146" spans="6:6">
      <c r="F146" s="200" t="str">
        <f t="shared" si="4"/>
        <v/>
      </c>
    </row>
    <row r="147" spans="6:6">
      <c r="F147" s="200" t="str">
        <f t="shared" si="4"/>
        <v/>
      </c>
    </row>
    <row r="148" spans="6:6">
      <c r="F148" s="200" t="str">
        <f t="shared" si="4"/>
        <v/>
      </c>
    </row>
    <row r="149" spans="6:6">
      <c r="F149" s="200" t="str">
        <f t="shared" si="4"/>
        <v/>
      </c>
    </row>
    <row r="150" spans="6:6">
      <c r="F150" s="200" t="str">
        <f t="shared" si="4"/>
        <v/>
      </c>
    </row>
    <row r="151" spans="6:6">
      <c r="F151" s="200" t="str">
        <f t="shared" si="4"/>
        <v/>
      </c>
    </row>
    <row r="152" spans="6:6">
      <c r="F152" s="200" t="str">
        <f t="shared" si="4"/>
        <v/>
      </c>
    </row>
    <row r="153" spans="6:6">
      <c r="F153" s="200" t="str">
        <f t="shared" si="4"/>
        <v/>
      </c>
    </row>
    <row r="154" spans="6:6">
      <c r="F154" s="200" t="str">
        <f t="shared" si="4"/>
        <v/>
      </c>
    </row>
    <row r="155" spans="6:6">
      <c r="F155" s="200" t="str">
        <f t="shared" si="4"/>
        <v/>
      </c>
    </row>
    <row r="156" spans="6:6">
      <c r="F156" s="200" t="str">
        <f t="shared" si="4"/>
        <v/>
      </c>
    </row>
    <row r="157" spans="6:6">
      <c r="F157" s="200" t="str">
        <f t="shared" si="4"/>
        <v/>
      </c>
    </row>
    <row r="158" spans="6:6">
      <c r="F158" s="200" t="str">
        <f t="shared" si="4"/>
        <v/>
      </c>
    </row>
    <row r="159" spans="6:6">
      <c r="F159" s="200" t="str">
        <f t="shared" si="4"/>
        <v/>
      </c>
    </row>
    <row r="160" spans="6:6">
      <c r="F160" s="200" t="str">
        <f t="shared" si="4"/>
        <v/>
      </c>
    </row>
    <row r="161" spans="6:6">
      <c r="F161" s="200" t="str">
        <f t="shared" si="4"/>
        <v/>
      </c>
    </row>
    <row r="162" spans="6:6">
      <c r="F162" s="200" t="str">
        <f t="shared" si="4"/>
        <v/>
      </c>
    </row>
    <row r="163" spans="6:6">
      <c r="F163" s="200" t="str">
        <f t="shared" si="4"/>
        <v/>
      </c>
    </row>
    <row r="164" spans="6:6">
      <c r="F164" s="200" t="str">
        <f t="shared" si="4"/>
        <v/>
      </c>
    </row>
    <row r="165" spans="6:6">
      <c r="F165" s="200" t="str">
        <f t="shared" si="4"/>
        <v/>
      </c>
    </row>
    <row r="166" spans="6:6">
      <c r="F166" s="200" t="str">
        <f t="shared" si="4"/>
        <v/>
      </c>
    </row>
    <row r="167" spans="6:6">
      <c r="F167" s="200" t="str">
        <f t="shared" si="4"/>
        <v/>
      </c>
    </row>
    <row r="168" spans="6:6">
      <c r="F168" s="200" t="str">
        <f t="shared" si="4"/>
        <v/>
      </c>
    </row>
    <row r="169" spans="6:6">
      <c r="F169" s="200" t="str">
        <f t="shared" si="4"/>
        <v/>
      </c>
    </row>
    <row r="170" spans="6:6">
      <c r="F170" s="200" t="str">
        <f t="shared" si="4"/>
        <v/>
      </c>
    </row>
    <row r="171" spans="6:6">
      <c r="F171" s="200" t="str">
        <f t="shared" si="4"/>
        <v/>
      </c>
    </row>
    <row r="172" spans="6:6">
      <c r="F172" s="200" t="str">
        <f t="shared" si="4"/>
        <v/>
      </c>
    </row>
    <row r="173" spans="6:6">
      <c r="F173" s="200" t="str">
        <f t="shared" si="4"/>
        <v/>
      </c>
    </row>
    <row r="174" spans="6:6">
      <c r="F174" s="200" t="str">
        <f t="shared" si="4"/>
        <v/>
      </c>
    </row>
    <row r="175" spans="6:6">
      <c r="F175" s="200" t="str">
        <f t="shared" si="4"/>
        <v/>
      </c>
    </row>
    <row r="176" spans="6:6">
      <c r="F176" s="200" t="str">
        <f t="shared" si="4"/>
        <v/>
      </c>
    </row>
    <row r="177" spans="6:6">
      <c r="F177" s="200" t="str">
        <f t="shared" si="4"/>
        <v/>
      </c>
    </row>
    <row r="178" spans="6:6">
      <c r="F178" s="200" t="str">
        <f t="shared" si="4"/>
        <v/>
      </c>
    </row>
    <row r="179" spans="6:6">
      <c r="F179" s="200" t="str">
        <f t="shared" si="4"/>
        <v/>
      </c>
    </row>
    <row r="180" spans="6:6">
      <c r="F180" s="200" t="str">
        <f t="shared" si="4"/>
        <v/>
      </c>
    </row>
    <row r="181" spans="6:6">
      <c r="F181" s="200" t="str">
        <f t="shared" si="4"/>
        <v/>
      </c>
    </row>
    <row r="182" spans="6:6">
      <c r="F182" s="200" t="str">
        <f t="shared" si="4"/>
        <v/>
      </c>
    </row>
    <row r="183" spans="6:6">
      <c r="F183" s="200" t="str">
        <f t="shared" si="4"/>
        <v/>
      </c>
    </row>
    <row r="184" spans="6:6">
      <c r="F184" s="200" t="str">
        <f t="shared" si="4"/>
        <v/>
      </c>
    </row>
    <row r="185" spans="6:6">
      <c r="F185" s="200" t="str">
        <f t="shared" si="4"/>
        <v/>
      </c>
    </row>
    <row r="186" spans="6:6">
      <c r="F186" s="200" t="str">
        <f t="shared" si="4"/>
        <v/>
      </c>
    </row>
    <row r="187" spans="6:6">
      <c r="F187" s="200" t="str">
        <f t="shared" si="4"/>
        <v/>
      </c>
    </row>
    <row r="188" spans="6:6">
      <c r="F188" s="200" t="str">
        <f t="shared" si="4"/>
        <v/>
      </c>
    </row>
    <row r="189" spans="6:6">
      <c r="F189" s="200" t="str">
        <f t="shared" si="4"/>
        <v/>
      </c>
    </row>
    <row r="190" spans="6:6">
      <c r="F190" s="200" t="str">
        <f t="shared" si="4"/>
        <v/>
      </c>
    </row>
    <row r="191" spans="6:6">
      <c r="F191" s="200" t="str">
        <f t="shared" si="4"/>
        <v/>
      </c>
    </row>
    <row r="192" spans="6:6">
      <c r="F192" s="200" t="str">
        <f t="shared" si="4"/>
        <v/>
      </c>
    </row>
    <row r="193" spans="6:6">
      <c r="F193" s="200" t="str">
        <f t="shared" si="4"/>
        <v/>
      </c>
    </row>
    <row r="194" spans="6:6">
      <c r="F194" s="200" t="str">
        <f t="shared" si="4"/>
        <v/>
      </c>
    </row>
    <row r="195" spans="6:6">
      <c r="F195" s="200" t="str">
        <f t="shared" si="4"/>
        <v/>
      </c>
    </row>
    <row r="196" spans="6:6">
      <c r="F196" s="200" t="str">
        <f t="shared" si="4"/>
        <v/>
      </c>
    </row>
    <row r="197" spans="6:6">
      <c r="F197" s="200" t="str">
        <f t="shared" si="4"/>
        <v/>
      </c>
    </row>
    <row r="198" spans="6:6">
      <c r="F198" s="200" t="str">
        <f t="shared" si="4"/>
        <v/>
      </c>
    </row>
    <row r="199" spans="6:6">
      <c r="F199" s="200" t="str">
        <f t="shared" si="4"/>
        <v/>
      </c>
    </row>
    <row r="200" spans="6:6">
      <c r="F200" s="200" t="str">
        <f t="shared" si="4"/>
        <v/>
      </c>
    </row>
    <row r="201" spans="6:6">
      <c r="F201" s="200" t="str">
        <f t="shared" ref="F201:F247" si="5">IF(A201="","","-")</f>
        <v/>
      </c>
    </row>
    <row r="202" spans="6:6">
      <c r="F202" s="200" t="str">
        <f t="shared" si="5"/>
        <v/>
      </c>
    </row>
    <row r="203" spans="6:6">
      <c r="F203" s="200" t="str">
        <f t="shared" si="5"/>
        <v/>
      </c>
    </row>
    <row r="204" spans="6:6">
      <c r="F204" s="200" t="str">
        <f t="shared" si="5"/>
        <v/>
      </c>
    </row>
    <row r="205" spans="6:6">
      <c r="F205" s="200" t="str">
        <f t="shared" si="5"/>
        <v/>
      </c>
    </row>
    <row r="206" spans="6:6">
      <c r="F206" s="200" t="str">
        <f t="shared" si="5"/>
        <v/>
      </c>
    </row>
    <row r="207" spans="6:6">
      <c r="F207" s="200" t="str">
        <f t="shared" si="5"/>
        <v/>
      </c>
    </row>
    <row r="208" spans="6:6">
      <c r="F208" s="200" t="str">
        <f t="shared" si="5"/>
        <v/>
      </c>
    </row>
    <row r="209" spans="6:6">
      <c r="F209" s="200" t="str">
        <f t="shared" si="5"/>
        <v/>
      </c>
    </row>
    <row r="210" spans="6:6">
      <c r="F210" s="200" t="str">
        <f t="shared" si="5"/>
        <v/>
      </c>
    </row>
    <row r="211" spans="6:6">
      <c r="F211" s="200" t="str">
        <f t="shared" si="5"/>
        <v/>
      </c>
    </row>
    <row r="212" spans="6:6">
      <c r="F212" s="200" t="str">
        <f t="shared" si="5"/>
        <v/>
      </c>
    </row>
    <row r="213" spans="6:6">
      <c r="F213" s="200" t="str">
        <f t="shared" si="5"/>
        <v/>
      </c>
    </row>
    <row r="214" spans="6:6">
      <c r="F214" s="200" t="str">
        <f t="shared" si="5"/>
        <v/>
      </c>
    </row>
    <row r="215" spans="6:6">
      <c r="F215" s="200" t="str">
        <f t="shared" si="5"/>
        <v/>
      </c>
    </row>
    <row r="216" spans="6:6">
      <c r="F216" s="200" t="str">
        <f t="shared" si="5"/>
        <v/>
      </c>
    </row>
    <row r="217" spans="6:6">
      <c r="F217" s="200" t="str">
        <f t="shared" si="5"/>
        <v/>
      </c>
    </row>
    <row r="218" spans="6:6">
      <c r="F218" s="200" t="str">
        <f t="shared" si="5"/>
        <v/>
      </c>
    </row>
    <row r="219" spans="6:6">
      <c r="F219" s="200" t="str">
        <f t="shared" si="5"/>
        <v/>
      </c>
    </row>
    <row r="220" spans="6:6">
      <c r="F220" s="200" t="str">
        <f t="shared" si="5"/>
        <v/>
      </c>
    </row>
    <row r="221" spans="6:6">
      <c r="F221" s="200" t="str">
        <f t="shared" si="5"/>
        <v/>
      </c>
    </row>
    <row r="222" spans="6:6">
      <c r="F222" s="200" t="str">
        <f t="shared" si="5"/>
        <v/>
      </c>
    </row>
    <row r="223" spans="6:6">
      <c r="F223" s="200" t="str">
        <f t="shared" si="5"/>
        <v/>
      </c>
    </row>
    <row r="224" spans="6:6">
      <c r="F224" s="200" t="str">
        <f t="shared" si="5"/>
        <v/>
      </c>
    </row>
    <row r="225" spans="6:6">
      <c r="F225" s="200" t="str">
        <f t="shared" si="5"/>
        <v/>
      </c>
    </row>
    <row r="226" spans="6:6">
      <c r="F226" s="200" t="str">
        <f t="shared" si="5"/>
        <v/>
      </c>
    </row>
    <row r="227" spans="6:6">
      <c r="F227" s="200" t="str">
        <f t="shared" si="5"/>
        <v/>
      </c>
    </row>
    <row r="228" spans="6:6">
      <c r="F228" s="200" t="str">
        <f t="shared" si="5"/>
        <v/>
      </c>
    </row>
    <row r="229" spans="6:6">
      <c r="F229" s="200" t="str">
        <f t="shared" si="5"/>
        <v/>
      </c>
    </row>
    <row r="230" spans="6:6">
      <c r="F230" s="200" t="str">
        <f t="shared" si="5"/>
        <v/>
      </c>
    </row>
    <row r="231" spans="6:6">
      <c r="F231" s="200" t="str">
        <f t="shared" si="5"/>
        <v/>
      </c>
    </row>
    <row r="232" spans="6:6">
      <c r="F232" s="200" t="str">
        <f t="shared" si="5"/>
        <v/>
      </c>
    </row>
    <row r="233" spans="6:6">
      <c r="F233" s="200" t="str">
        <f t="shared" si="5"/>
        <v/>
      </c>
    </row>
    <row r="234" spans="6:6">
      <c r="F234" s="200" t="str">
        <f t="shared" si="5"/>
        <v/>
      </c>
    </row>
    <row r="235" spans="6:6">
      <c r="F235" s="200" t="str">
        <f t="shared" si="5"/>
        <v/>
      </c>
    </row>
    <row r="236" spans="6:6">
      <c r="F236" s="200" t="str">
        <f t="shared" si="5"/>
        <v/>
      </c>
    </row>
    <row r="237" spans="6:6">
      <c r="F237" s="200" t="str">
        <f t="shared" si="5"/>
        <v/>
      </c>
    </row>
    <row r="238" spans="6:6">
      <c r="F238" s="200" t="str">
        <f t="shared" si="5"/>
        <v/>
      </c>
    </row>
    <row r="239" spans="6:6">
      <c r="F239" s="200" t="str">
        <f t="shared" si="5"/>
        <v/>
      </c>
    </row>
    <row r="240" spans="6:6">
      <c r="F240" s="200" t="str">
        <f t="shared" si="5"/>
        <v/>
      </c>
    </row>
    <row r="241" spans="6:6">
      <c r="F241" s="200" t="str">
        <f t="shared" si="5"/>
        <v/>
      </c>
    </row>
    <row r="242" spans="6:6">
      <c r="F242" s="200" t="str">
        <f t="shared" si="5"/>
        <v/>
      </c>
    </row>
    <row r="243" spans="6:6">
      <c r="F243" s="200" t="str">
        <f t="shared" si="5"/>
        <v/>
      </c>
    </row>
    <row r="244" spans="6:6">
      <c r="F244" s="200" t="str">
        <f t="shared" si="5"/>
        <v/>
      </c>
    </row>
    <row r="245" spans="6:6">
      <c r="F245" s="200" t="str">
        <f t="shared" si="5"/>
        <v/>
      </c>
    </row>
    <row r="246" spans="6:6">
      <c r="F246" s="200" t="str">
        <f t="shared" si="5"/>
        <v/>
      </c>
    </row>
    <row r="247" spans="6:6">
      <c r="F247" s="200" t="str">
        <f t="shared" si="5"/>
        <v/>
      </c>
    </row>
  </sheetData>
  <phoneticPr fontId="10" type="noConversion"/>
  <dataValidations disablePrompts="1" count="1">
    <dataValidation type="list" allowBlank="1" showInputMessage="1" showErrorMessage="1" sqref="H22" xr:uid="{00000000-0002-0000-0F00-000000000000}">
      <formula1>$J$20:$L$20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5">
    <tabColor rgb="FF92D050"/>
  </sheetPr>
  <dimension ref="A1:F228"/>
  <sheetViews>
    <sheetView zoomScale="85" zoomScaleNormal="85" workbookViewId="0">
      <selection activeCell="D18" sqref="D18"/>
    </sheetView>
  </sheetViews>
  <sheetFormatPr defaultRowHeight="13.5"/>
  <cols>
    <col min="1" max="1" width="9" style="135"/>
    <col min="2" max="2" width="24.875" style="135" customWidth="1"/>
    <col min="3" max="3" width="20" style="135" customWidth="1"/>
    <col min="4" max="4" width="10.25" style="133" bestFit="1" customWidth="1"/>
    <col min="5" max="5" width="36.625" style="135" customWidth="1"/>
    <col min="6" max="6" width="9" style="200"/>
    <col min="7" max="16384" width="9" style="135"/>
  </cols>
  <sheetData>
    <row r="1" spans="1:6" s="134" customFormat="1">
      <c r="A1" s="134" t="s">
        <v>93</v>
      </c>
      <c r="B1" s="134" t="s">
        <v>1340</v>
      </c>
      <c r="C1" s="134" t="s">
        <v>1341</v>
      </c>
      <c r="D1" s="116" t="s">
        <v>1342</v>
      </c>
      <c r="E1" s="134" t="s">
        <v>1343</v>
      </c>
      <c r="F1" s="198" t="s">
        <v>1409</v>
      </c>
    </row>
    <row r="2" spans="1:6" s="134" customFormat="1">
      <c r="A2" s="134" t="s">
        <v>94</v>
      </c>
      <c r="B2" s="134" t="s">
        <v>1344</v>
      </c>
      <c r="C2" s="134" t="s">
        <v>1345</v>
      </c>
      <c r="D2" s="117" t="s">
        <v>1346</v>
      </c>
      <c r="E2" s="134" t="s">
        <v>1347</v>
      </c>
      <c r="F2" s="198"/>
    </row>
    <row r="3" spans="1:6" s="134" customFormat="1">
      <c r="A3" s="134" t="s">
        <v>14</v>
      </c>
      <c r="B3" s="117" t="s">
        <v>1348</v>
      </c>
      <c r="C3" s="117" t="s">
        <v>1348</v>
      </c>
      <c r="D3" s="117" t="s">
        <v>1348</v>
      </c>
      <c r="E3" s="134" t="s">
        <v>1348</v>
      </c>
      <c r="F3" s="198"/>
    </row>
    <row r="4" spans="1:6" s="118" customFormat="1">
      <c r="A4" s="118" t="s">
        <v>866</v>
      </c>
    </row>
    <row r="5" spans="1:6">
      <c r="A5" s="135">
        <v>1</v>
      </c>
      <c r="B5" s="129" t="s">
        <v>1213</v>
      </c>
      <c r="C5" s="129" t="s">
        <v>1349</v>
      </c>
      <c r="D5" s="1">
        <f>ROUND(테이블_규칙!D3,3)</f>
        <v>0.32700000000000001</v>
      </c>
      <c r="E5" s="129" t="s">
        <v>867</v>
      </c>
      <c r="F5" s="200" t="str">
        <f t="shared" ref="F5:F53" si="0">IF(A5="","","-")</f>
        <v>-</v>
      </c>
    </row>
    <row r="6" spans="1:6" s="118" customFormat="1">
      <c r="A6" s="118" t="s">
        <v>868</v>
      </c>
    </row>
    <row r="7" spans="1:6">
      <c r="A7" s="135">
        <v>2</v>
      </c>
      <c r="B7" s="135" t="s">
        <v>14</v>
      </c>
      <c r="C7" s="135" t="s">
        <v>1350</v>
      </c>
      <c r="D7" s="135">
        <v>1</v>
      </c>
      <c r="E7" s="135" t="s">
        <v>869</v>
      </c>
      <c r="F7" s="200" t="str">
        <f t="shared" si="0"/>
        <v>-</v>
      </c>
    </row>
    <row r="8" spans="1:6" s="118" customFormat="1">
      <c r="A8" s="118" t="s">
        <v>870</v>
      </c>
    </row>
    <row r="9" spans="1:6">
      <c r="A9" s="135">
        <v>100</v>
      </c>
      <c r="B9" s="135" t="s">
        <v>14</v>
      </c>
      <c r="C9" s="135" t="s">
        <v>1351</v>
      </c>
      <c r="D9" s="135">
        <v>0</v>
      </c>
      <c r="E9" s="135" t="s">
        <v>871</v>
      </c>
      <c r="F9" s="200" t="str">
        <f t="shared" si="0"/>
        <v>-</v>
      </c>
    </row>
    <row r="10" spans="1:6" s="118" customFormat="1">
      <c r="A10" s="118" t="s">
        <v>872</v>
      </c>
      <c r="B10" s="127"/>
      <c r="C10" s="127"/>
      <c r="E10" s="127"/>
    </row>
    <row r="11" spans="1:6" s="205" customFormat="1">
      <c r="A11" s="205">
        <v>101</v>
      </c>
      <c r="B11" s="206" t="s">
        <v>1411</v>
      </c>
      <c r="C11" s="206" t="s">
        <v>1416</v>
      </c>
      <c r="E11" s="207" t="s">
        <v>1413</v>
      </c>
      <c r="F11" s="208" t="str">
        <f t="shared" si="0"/>
        <v>-</v>
      </c>
    </row>
    <row r="12" spans="1:6">
      <c r="A12" s="135">
        <f>A11+1</f>
        <v>102</v>
      </c>
      <c r="B12" s="194" t="s">
        <v>14</v>
      </c>
      <c r="C12" s="194" t="s">
        <v>1417</v>
      </c>
      <c r="D12" s="135">
        <v>10</v>
      </c>
      <c r="E12" s="115" t="s">
        <v>1432</v>
      </c>
      <c r="F12" s="200" t="str">
        <f t="shared" si="0"/>
        <v>-</v>
      </c>
    </row>
    <row r="13" spans="1:6">
      <c r="A13" s="135">
        <f>A12+1</f>
        <v>103</v>
      </c>
      <c r="B13" s="194" t="s">
        <v>14</v>
      </c>
      <c r="C13" s="194" t="s">
        <v>1418</v>
      </c>
      <c r="D13" s="135">
        <v>10</v>
      </c>
      <c r="E13" s="115" t="s">
        <v>1433</v>
      </c>
      <c r="F13" s="200" t="str">
        <f t="shared" si="0"/>
        <v>-</v>
      </c>
    </row>
    <row r="14" spans="1:6">
      <c r="A14" s="135">
        <f t="shared" ref="A14:A16" si="1">A13+1</f>
        <v>104</v>
      </c>
      <c r="B14" s="194" t="s">
        <v>14</v>
      </c>
      <c r="C14" s="194" t="s">
        <v>1419</v>
      </c>
      <c r="D14" s="135">
        <v>20</v>
      </c>
      <c r="E14" s="115" t="s">
        <v>1434</v>
      </c>
      <c r="F14" s="200" t="str">
        <f t="shared" si="0"/>
        <v>-</v>
      </c>
    </row>
    <row r="15" spans="1:6">
      <c r="A15" s="135">
        <f t="shared" si="1"/>
        <v>105</v>
      </c>
      <c r="B15" s="194" t="s">
        <v>14</v>
      </c>
      <c r="C15" s="194" t="s">
        <v>1420</v>
      </c>
      <c r="D15" s="135">
        <v>50</v>
      </c>
      <c r="E15" s="115" t="s">
        <v>1414</v>
      </c>
      <c r="F15" s="200" t="str">
        <f t="shared" si="0"/>
        <v>-</v>
      </c>
    </row>
    <row r="16" spans="1:6">
      <c r="A16" s="135">
        <f t="shared" si="1"/>
        <v>106</v>
      </c>
      <c r="B16" s="194" t="s">
        <v>14</v>
      </c>
      <c r="C16" s="194" t="s">
        <v>1421</v>
      </c>
      <c r="D16" s="135">
        <v>100</v>
      </c>
      <c r="E16" s="115" t="s">
        <v>1415</v>
      </c>
      <c r="F16" s="200" t="str">
        <f t="shared" si="0"/>
        <v>-</v>
      </c>
    </row>
    <row r="17" spans="1:6">
      <c r="A17" s="135">
        <f t="shared" ref="A17" si="2">A16+1</f>
        <v>107</v>
      </c>
      <c r="B17" s="194" t="s">
        <v>14</v>
      </c>
      <c r="C17" s="194" t="s">
        <v>1483</v>
      </c>
      <c r="D17" s="135">
        <v>110</v>
      </c>
      <c r="E17" s="115" t="s">
        <v>1484</v>
      </c>
      <c r="F17" s="200" t="str">
        <f t="shared" si="0"/>
        <v>-</v>
      </c>
    </row>
    <row r="18" spans="1:6" s="205" customFormat="1">
      <c r="A18" s="205">
        <f t="shared" ref="A18" si="3">A17+1</f>
        <v>108</v>
      </c>
      <c r="B18" s="206" t="s">
        <v>1412</v>
      </c>
      <c r="C18" s="206"/>
      <c r="E18" s="207"/>
      <c r="F18" s="208" t="str">
        <f t="shared" si="0"/>
        <v>-</v>
      </c>
    </row>
    <row r="19" spans="1:6" s="118" customFormat="1">
      <c r="A19" s="118" t="s">
        <v>873</v>
      </c>
    </row>
    <row r="20" spans="1:6" s="118" customFormat="1">
      <c r="A20" s="118" t="s">
        <v>874</v>
      </c>
    </row>
    <row r="21" spans="1:6">
      <c r="A21" s="135">
        <v>1101</v>
      </c>
      <c r="B21" s="115" t="s">
        <v>1348</v>
      </c>
      <c r="C21" s="115" t="s">
        <v>1352</v>
      </c>
      <c r="D21" s="135" t="s">
        <v>1355</v>
      </c>
      <c r="E21" s="115" t="s">
        <v>875</v>
      </c>
      <c r="F21" s="200" t="str">
        <f t="shared" si="0"/>
        <v>-</v>
      </c>
    </row>
    <row r="22" spans="1:6">
      <c r="A22" s="135">
        <v>1102</v>
      </c>
      <c r="B22" s="115" t="s">
        <v>1348</v>
      </c>
      <c r="C22" s="115" t="s">
        <v>1353</v>
      </c>
      <c r="D22" s="135" t="s">
        <v>1356</v>
      </c>
      <c r="E22" s="115" t="s">
        <v>876</v>
      </c>
      <c r="F22" s="200" t="str">
        <f t="shared" si="0"/>
        <v>-</v>
      </c>
    </row>
    <row r="23" spans="1:6">
      <c r="A23" s="135">
        <v>1103</v>
      </c>
      <c r="B23" s="115" t="s">
        <v>1348</v>
      </c>
      <c r="C23" s="115" t="s">
        <v>1354</v>
      </c>
      <c r="D23" s="135" t="s">
        <v>1357</v>
      </c>
      <c r="E23" s="115" t="s">
        <v>877</v>
      </c>
      <c r="F23" s="200" t="str">
        <f t="shared" si="0"/>
        <v>-</v>
      </c>
    </row>
    <row r="24" spans="1:6" s="118" customFormat="1">
      <c r="A24" s="118" t="s">
        <v>1358</v>
      </c>
    </row>
    <row r="25" spans="1:6">
      <c r="A25" s="135">
        <f>A23+200</f>
        <v>1303</v>
      </c>
      <c r="B25" s="115" t="s">
        <v>14</v>
      </c>
      <c r="C25" s="135" t="s">
        <v>1359</v>
      </c>
      <c r="D25" s="133">
        <v>2</v>
      </c>
      <c r="E25" s="135" t="s">
        <v>1360</v>
      </c>
      <c r="F25" s="200" t="str">
        <f t="shared" si="0"/>
        <v>-</v>
      </c>
    </row>
    <row r="26" spans="1:6" s="118" customFormat="1">
      <c r="A26" s="118" t="s">
        <v>1425</v>
      </c>
      <c r="B26" s="127"/>
      <c r="C26" s="127"/>
      <c r="E26" s="127"/>
    </row>
    <row r="27" spans="1:6" s="205" customFormat="1">
      <c r="A27" s="205">
        <f>A21+1000</f>
        <v>2101</v>
      </c>
      <c r="B27" s="206" t="s">
        <v>1411</v>
      </c>
      <c r="C27" s="206" t="s">
        <v>1426</v>
      </c>
      <c r="E27" s="207" t="s">
        <v>1413</v>
      </c>
      <c r="F27" s="208" t="str">
        <f t="shared" ref="F27:F28" si="4">IF(A27="","","-")</f>
        <v>-</v>
      </c>
    </row>
    <row r="28" spans="1:6">
      <c r="A28" s="135">
        <f>A27+1</f>
        <v>2102</v>
      </c>
      <c r="B28" s="194" t="s">
        <v>14</v>
      </c>
      <c r="C28" s="194" t="s">
        <v>1427</v>
      </c>
      <c r="D28" s="135">
        <v>300</v>
      </c>
      <c r="E28" s="115" t="s">
        <v>1429</v>
      </c>
      <c r="F28" s="200" t="str">
        <f t="shared" si="4"/>
        <v>-</v>
      </c>
    </row>
    <row r="29" spans="1:6">
      <c r="A29" s="135">
        <f t="shared" ref="A29" si="5">A28+1</f>
        <v>2103</v>
      </c>
      <c r="B29" s="135" t="s">
        <v>1428</v>
      </c>
      <c r="C29" s="135" t="s">
        <v>1430</v>
      </c>
      <c r="D29" s="133">
        <v>30</v>
      </c>
      <c r="E29" s="135" t="s">
        <v>1431</v>
      </c>
      <c r="F29" s="200" t="str">
        <f t="shared" si="0"/>
        <v>-</v>
      </c>
    </row>
    <row r="30" spans="1:6" s="205" customFormat="1">
      <c r="A30" s="205">
        <f>A29+1</f>
        <v>2104</v>
      </c>
      <c r="B30" s="206" t="s">
        <v>1412</v>
      </c>
      <c r="C30" s="206" t="s">
        <v>1426</v>
      </c>
      <c r="E30" s="207" t="s">
        <v>1413</v>
      </c>
      <c r="F30" s="208" t="str">
        <f t="shared" si="0"/>
        <v>-</v>
      </c>
    </row>
    <row r="31" spans="1:6">
      <c r="F31" s="200" t="str">
        <f t="shared" si="0"/>
        <v/>
      </c>
    </row>
    <row r="32" spans="1:6">
      <c r="F32" s="200" t="str">
        <f t="shared" si="0"/>
        <v/>
      </c>
    </row>
    <row r="33" spans="6:6">
      <c r="F33" s="200" t="str">
        <f t="shared" si="0"/>
        <v/>
      </c>
    </row>
    <row r="34" spans="6:6">
      <c r="F34" s="200" t="str">
        <f t="shared" si="0"/>
        <v/>
      </c>
    </row>
    <row r="35" spans="6:6">
      <c r="F35" s="200" t="str">
        <f t="shared" si="0"/>
        <v/>
      </c>
    </row>
    <row r="36" spans="6:6">
      <c r="F36" s="200" t="str">
        <f t="shared" si="0"/>
        <v/>
      </c>
    </row>
    <row r="37" spans="6:6">
      <c r="F37" s="200" t="str">
        <f t="shared" si="0"/>
        <v/>
      </c>
    </row>
    <row r="38" spans="6:6">
      <c r="F38" s="200" t="str">
        <f t="shared" si="0"/>
        <v/>
      </c>
    </row>
    <row r="39" spans="6:6">
      <c r="F39" s="200" t="str">
        <f t="shared" si="0"/>
        <v/>
      </c>
    </row>
    <row r="40" spans="6:6">
      <c r="F40" s="200" t="str">
        <f t="shared" si="0"/>
        <v/>
      </c>
    </row>
    <row r="41" spans="6:6">
      <c r="F41" s="200" t="str">
        <f t="shared" si="0"/>
        <v/>
      </c>
    </row>
    <row r="42" spans="6:6">
      <c r="F42" s="200" t="str">
        <f t="shared" si="0"/>
        <v/>
      </c>
    </row>
    <row r="43" spans="6:6">
      <c r="F43" s="200" t="str">
        <f t="shared" si="0"/>
        <v/>
      </c>
    </row>
    <row r="44" spans="6:6">
      <c r="F44" s="200" t="str">
        <f t="shared" si="0"/>
        <v/>
      </c>
    </row>
    <row r="45" spans="6:6">
      <c r="F45" s="200" t="str">
        <f t="shared" si="0"/>
        <v/>
      </c>
    </row>
    <row r="46" spans="6:6">
      <c r="F46" s="200" t="str">
        <f t="shared" si="0"/>
        <v/>
      </c>
    </row>
    <row r="47" spans="6:6">
      <c r="F47" s="200" t="str">
        <f t="shared" si="0"/>
        <v/>
      </c>
    </row>
    <row r="48" spans="6:6">
      <c r="F48" s="200" t="str">
        <f t="shared" si="0"/>
        <v/>
      </c>
    </row>
    <row r="49" spans="6:6">
      <c r="F49" s="200" t="str">
        <f t="shared" si="0"/>
        <v/>
      </c>
    </row>
    <row r="50" spans="6:6">
      <c r="F50" s="200" t="str">
        <f t="shared" si="0"/>
        <v/>
      </c>
    </row>
    <row r="51" spans="6:6">
      <c r="F51" s="200" t="str">
        <f t="shared" si="0"/>
        <v/>
      </c>
    </row>
    <row r="52" spans="6:6">
      <c r="F52" s="200" t="str">
        <f t="shared" si="0"/>
        <v/>
      </c>
    </row>
    <row r="53" spans="6:6">
      <c r="F53" s="200" t="str">
        <f t="shared" si="0"/>
        <v/>
      </c>
    </row>
    <row r="54" spans="6:6">
      <c r="F54" s="200" t="str">
        <f t="shared" ref="F54:F117" si="6">IF(A54="","","-")</f>
        <v/>
      </c>
    </row>
    <row r="55" spans="6:6">
      <c r="F55" s="200" t="str">
        <f t="shared" si="6"/>
        <v/>
      </c>
    </row>
    <row r="56" spans="6:6">
      <c r="F56" s="200" t="str">
        <f t="shared" si="6"/>
        <v/>
      </c>
    </row>
    <row r="57" spans="6:6">
      <c r="F57" s="200" t="str">
        <f t="shared" si="6"/>
        <v/>
      </c>
    </row>
    <row r="58" spans="6:6">
      <c r="F58" s="200" t="str">
        <f t="shared" si="6"/>
        <v/>
      </c>
    </row>
    <row r="59" spans="6:6">
      <c r="F59" s="200" t="str">
        <f t="shared" si="6"/>
        <v/>
      </c>
    </row>
    <row r="60" spans="6:6">
      <c r="F60" s="200" t="str">
        <f t="shared" si="6"/>
        <v/>
      </c>
    </row>
    <row r="61" spans="6:6">
      <c r="F61" s="200" t="str">
        <f t="shared" si="6"/>
        <v/>
      </c>
    </row>
    <row r="62" spans="6:6">
      <c r="F62" s="200" t="str">
        <f t="shared" si="6"/>
        <v/>
      </c>
    </row>
    <row r="63" spans="6:6">
      <c r="F63" s="200" t="str">
        <f t="shared" si="6"/>
        <v/>
      </c>
    </row>
    <row r="64" spans="6:6">
      <c r="F64" s="200" t="str">
        <f t="shared" si="6"/>
        <v/>
      </c>
    </row>
    <row r="65" spans="6:6">
      <c r="F65" s="200" t="str">
        <f t="shared" si="6"/>
        <v/>
      </c>
    </row>
    <row r="66" spans="6:6">
      <c r="F66" s="200" t="str">
        <f t="shared" si="6"/>
        <v/>
      </c>
    </row>
    <row r="67" spans="6:6">
      <c r="F67" s="200" t="str">
        <f t="shared" si="6"/>
        <v/>
      </c>
    </row>
    <row r="68" spans="6:6">
      <c r="F68" s="200" t="str">
        <f t="shared" si="6"/>
        <v/>
      </c>
    </row>
    <row r="69" spans="6:6">
      <c r="F69" s="200" t="str">
        <f t="shared" si="6"/>
        <v/>
      </c>
    </row>
    <row r="70" spans="6:6">
      <c r="F70" s="200" t="str">
        <f t="shared" si="6"/>
        <v/>
      </c>
    </row>
    <row r="71" spans="6:6">
      <c r="F71" s="200" t="str">
        <f t="shared" si="6"/>
        <v/>
      </c>
    </row>
    <row r="72" spans="6:6">
      <c r="F72" s="200" t="str">
        <f t="shared" si="6"/>
        <v/>
      </c>
    </row>
    <row r="73" spans="6:6">
      <c r="F73" s="200" t="str">
        <f t="shared" si="6"/>
        <v/>
      </c>
    </row>
    <row r="74" spans="6:6">
      <c r="F74" s="200" t="str">
        <f t="shared" si="6"/>
        <v/>
      </c>
    </row>
    <row r="75" spans="6:6">
      <c r="F75" s="200" t="str">
        <f t="shared" si="6"/>
        <v/>
      </c>
    </row>
    <row r="76" spans="6:6">
      <c r="F76" s="200" t="str">
        <f t="shared" si="6"/>
        <v/>
      </c>
    </row>
    <row r="77" spans="6:6">
      <c r="F77" s="200" t="str">
        <f t="shared" si="6"/>
        <v/>
      </c>
    </row>
    <row r="78" spans="6:6">
      <c r="F78" s="200" t="str">
        <f t="shared" si="6"/>
        <v/>
      </c>
    </row>
    <row r="79" spans="6:6">
      <c r="F79" s="200" t="str">
        <f t="shared" si="6"/>
        <v/>
      </c>
    </row>
    <row r="80" spans="6:6">
      <c r="F80" s="200" t="str">
        <f t="shared" si="6"/>
        <v/>
      </c>
    </row>
    <row r="81" spans="6:6">
      <c r="F81" s="200" t="str">
        <f t="shared" si="6"/>
        <v/>
      </c>
    </row>
    <row r="82" spans="6:6">
      <c r="F82" s="200" t="str">
        <f t="shared" si="6"/>
        <v/>
      </c>
    </row>
    <row r="83" spans="6:6">
      <c r="F83" s="200" t="str">
        <f t="shared" si="6"/>
        <v/>
      </c>
    </row>
    <row r="84" spans="6:6">
      <c r="F84" s="200" t="str">
        <f t="shared" si="6"/>
        <v/>
      </c>
    </row>
    <row r="85" spans="6:6">
      <c r="F85" s="200" t="str">
        <f t="shared" si="6"/>
        <v/>
      </c>
    </row>
    <row r="86" spans="6:6">
      <c r="F86" s="200" t="str">
        <f t="shared" si="6"/>
        <v/>
      </c>
    </row>
    <row r="87" spans="6:6">
      <c r="F87" s="200" t="str">
        <f t="shared" si="6"/>
        <v/>
      </c>
    </row>
    <row r="88" spans="6:6">
      <c r="F88" s="200" t="str">
        <f t="shared" si="6"/>
        <v/>
      </c>
    </row>
    <row r="89" spans="6:6">
      <c r="F89" s="200" t="str">
        <f t="shared" si="6"/>
        <v/>
      </c>
    </row>
    <row r="90" spans="6:6">
      <c r="F90" s="200" t="str">
        <f t="shared" si="6"/>
        <v/>
      </c>
    </row>
    <row r="91" spans="6:6">
      <c r="F91" s="200" t="str">
        <f t="shared" si="6"/>
        <v/>
      </c>
    </row>
    <row r="92" spans="6:6">
      <c r="F92" s="200" t="str">
        <f t="shared" si="6"/>
        <v/>
      </c>
    </row>
    <row r="93" spans="6:6">
      <c r="F93" s="200" t="str">
        <f t="shared" si="6"/>
        <v/>
      </c>
    </row>
    <row r="94" spans="6:6">
      <c r="F94" s="200" t="str">
        <f t="shared" si="6"/>
        <v/>
      </c>
    </row>
    <row r="95" spans="6:6">
      <c r="F95" s="200" t="str">
        <f t="shared" si="6"/>
        <v/>
      </c>
    </row>
    <row r="96" spans="6:6">
      <c r="F96" s="200" t="str">
        <f t="shared" si="6"/>
        <v/>
      </c>
    </row>
    <row r="97" spans="6:6">
      <c r="F97" s="200" t="str">
        <f t="shared" si="6"/>
        <v/>
      </c>
    </row>
    <row r="98" spans="6:6">
      <c r="F98" s="200" t="str">
        <f t="shared" si="6"/>
        <v/>
      </c>
    </row>
    <row r="99" spans="6:6">
      <c r="F99" s="200" t="str">
        <f t="shared" si="6"/>
        <v/>
      </c>
    </row>
    <row r="100" spans="6:6">
      <c r="F100" s="200" t="str">
        <f t="shared" si="6"/>
        <v/>
      </c>
    </row>
    <row r="101" spans="6:6">
      <c r="F101" s="200" t="str">
        <f t="shared" si="6"/>
        <v/>
      </c>
    </row>
    <row r="102" spans="6:6">
      <c r="F102" s="200" t="str">
        <f t="shared" si="6"/>
        <v/>
      </c>
    </row>
    <row r="103" spans="6:6">
      <c r="F103" s="200" t="str">
        <f t="shared" si="6"/>
        <v/>
      </c>
    </row>
    <row r="104" spans="6:6">
      <c r="F104" s="200" t="str">
        <f t="shared" si="6"/>
        <v/>
      </c>
    </row>
    <row r="105" spans="6:6">
      <c r="F105" s="200" t="str">
        <f t="shared" si="6"/>
        <v/>
      </c>
    </row>
    <row r="106" spans="6:6">
      <c r="F106" s="200" t="str">
        <f t="shared" si="6"/>
        <v/>
      </c>
    </row>
    <row r="107" spans="6:6">
      <c r="F107" s="200" t="str">
        <f t="shared" si="6"/>
        <v/>
      </c>
    </row>
    <row r="108" spans="6:6">
      <c r="F108" s="200" t="str">
        <f t="shared" si="6"/>
        <v/>
      </c>
    </row>
    <row r="109" spans="6:6">
      <c r="F109" s="200" t="str">
        <f t="shared" si="6"/>
        <v/>
      </c>
    </row>
    <row r="110" spans="6:6">
      <c r="F110" s="200" t="str">
        <f t="shared" si="6"/>
        <v/>
      </c>
    </row>
    <row r="111" spans="6:6">
      <c r="F111" s="200" t="str">
        <f t="shared" si="6"/>
        <v/>
      </c>
    </row>
    <row r="112" spans="6:6">
      <c r="F112" s="200" t="str">
        <f t="shared" si="6"/>
        <v/>
      </c>
    </row>
    <row r="113" spans="6:6">
      <c r="F113" s="200" t="str">
        <f t="shared" si="6"/>
        <v/>
      </c>
    </row>
    <row r="114" spans="6:6">
      <c r="F114" s="200" t="str">
        <f t="shared" si="6"/>
        <v/>
      </c>
    </row>
    <row r="115" spans="6:6">
      <c r="F115" s="200" t="str">
        <f t="shared" si="6"/>
        <v/>
      </c>
    </row>
    <row r="116" spans="6:6">
      <c r="F116" s="200" t="str">
        <f t="shared" si="6"/>
        <v/>
      </c>
    </row>
    <row r="117" spans="6:6">
      <c r="F117" s="200" t="str">
        <f t="shared" si="6"/>
        <v/>
      </c>
    </row>
    <row r="118" spans="6:6">
      <c r="F118" s="200" t="str">
        <f t="shared" ref="F118:F181" si="7">IF(A118="","","-")</f>
        <v/>
      </c>
    </row>
    <row r="119" spans="6:6">
      <c r="F119" s="200" t="str">
        <f t="shared" si="7"/>
        <v/>
      </c>
    </row>
    <row r="120" spans="6:6">
      <c r="F120" s="200" t="str">
        <f t="shared" si="7"/>
        <v/>
      </c>
    </row>
    <row r="121" spans="6:6">
      <c r="F121" s="200" t="str">
        <f t="shared" si="7"/>
        <v/>
      </c>
    </row>
    <row r="122" spans="6:6">
      <c r="F122" s="200" t="str">
        <f t="shared" si="7"/>
        <v/>
      </c>
    </row>
    <row r="123" spans="6:6">
      <c r="F123" s="200" t="str">
        <f t="shared" si="7"/>
        <v/>
      </c>
    </row>
    <row r="124" spans="6:6">
      <c r="F124" s="200" t="str">
        <f t="shared" si="7"/>
        <v/>
      </c>
    </row>
    <row r="125" spans="6:6">
      <c r="F125" s="200" t="str">
        <f t="shared" si="7"/>
        <v/>
      </c>
    </row>
    <row r="126" spans="6:6">
      <c r="F126" s="200" t="str">
        <f t="shared" si="7"/>
        <v/>
      </c>
    </row>
    <row r="127" spans="6:6">
      <c r="F127" s="200" t="str">
        <f t="shared" si="7"/>
        <v/>
      </c>
    </row>
    <row r="128" spans="6:6">
      <c r="F128" s="200" t="str">
        <f t="shared" si="7"/>
        <v/>
      </c>
    </row>
    <row r="129" spans="6:6">
      <c r="F129" s="200" t="str">
        <f t="shared" si="7"/>
        <v/>
      </c>
    </row>
    <row r="130" spans="6:6">
      <c r="F130" s="200" t="str">
        <f t="shared" si="7"/>
        <v/>
      </c>
    </row>
    <row r="131" spans="6:6">
      <c r="F131" s="200" t="str">
        <f t="shared" si="7"/>
        <v/>
      </c>
    </row>
    <row r="132" spans="6:6">
      <c r="F132" s="200" t="str">
        <f t="shared" si="7"/>
        <v/>
      </c>
    </row>
    <row r="133" spans="6:6">
      <c r="F133" s="200" t="str">
        <f t="shared" si="7"/>
        <v/>
      </c>
    </row>
    <row r="134" spans="6:6">
      <c r="F134" s="200" t="str">
        <f t="shared" si="7"/>
        <v/>
      </c>
    </row>
    <row r="135" spans="6:6">
      <c r="F135" s="200" t="str">
        <f t="shared" si="7"/>
        <v/>
      </c>
    </row>
    <row r="136" spans="6:6">
      <c r="F136" s="200" t="str">
        <f t="shared" si="7"/>
        <v/>
      </c>
    </row>
    <row r="137" spans="6:6">
      <c r="F137" s="200" t="str">
        <f t="shared" si="7"/>
        <v/>
      </c>
    </row>
    <row r="138" spans="6:6">
      <c r="F138" s="200" t="str">
        <f t="shared" si="7"/>
        <v/>
      </c>
    </row>
    <row r="139" spans="6:6">
      <c r="F139" s="200" t="str">
        <f t="shared" si="7"/>
        <v/>
      </c>
    </row>
    <row r="140" spans="6:6">
      <c r="F140" s="200" t="str">
        <f t="shared" si="7"/>
        <v/>
      </c>
    </row>
    <row r="141" spans="6:6">
      <c r="F141" s="200" t="str">
        <f t="shared" si="7"/>
        <v/>
      </c>
    </row>
    <row r="142" spans="6:6">
      <c r="F142" s="200" t="str">
        <f t="shared" si="7"/>
        <v/>
      </c>
    </row>
    <row r="143" spans="6:6">
      <c r="F143" s="200" t="str">
        <f t="shared" si="7"/>
        <v/>
      </c>
    </row>
    <row r="144" spans="6:6">
      <c r="F144" s="200" t="str">
        <f t="shared" si="7"/>
        <v/>
      </c>
    </row>
    <row r="145" spans="6:6">
      <c r="F145" s="200" t="str">
        <f t="shared" si="7"/>
        <v/>
      </c>
    </row>
    <row r="146" spans="6:6">
      <c r="F146" s="200" t="str">
        <f t="shared" si="7"/>
        <v/>
      </c>
    </row>
    <row r="147" spans="6:6">
      <c r="F147" s="200" t="str">
        <f t="shared" si="7"/>
        <v/>
      </c>
    </row>
    <row r="148" spans="6:6">
      <c r="F148" s="200" t="str">
        <f t="shared" si="7"/>
        <v/>
      </c>
    </row>
    <row r="149" spans="6:6">
      <c r="F149" s="200" t="str">
        <f t="shared" si="7"/>
        <v/>
      </c>
    </row>
    <row r="150" spans="6:6">
      <c r="F150" s="200" t="str">
        <f t="shared" si="7"/>
        <v/>
      </c>
    </row>
    <row r="151" spans="6:6">
      <c r="F151" s="200" t="str">
        <f t="shared" si="7"/>
        <v/>
      </c>
    </row>
    <row r="152" spans="6:6">
      <c r="F152" s="200" t="str">
        <f t="shared" si="7"/>
        <v/>
      </c>
    </row>
    <row r="153" spans="6:6">
      <c r="F153" s="200" t="str">
        <f t="shared" si="7"/>
        <v/>
      </c>
    </row>
    <row r="154" spans="6:6">
      <c r="F154" s="200" t="str">
        <f t="shared" si="7"/>
        <v/>
      </c>
    </row>
    <row r="155" spans="6:6">
      <c r="F155" s="200" t="str">
        <f t="shared" si="7"/>
        <v/>
      </c>
    </row>
    <row r="156" spans="6:6">
      <c r="F156" s="200" t="str">
        <f t="shared" si="7"/>
        <v/>
      </c>
    </row>
    <row r="157" spans="6:6">
      <c r="F157" s="200" t="str">
        <f t="shared" si="7"/>
        <v/>
      </c>
    </row>
    <row r="158" spans="6:6">
      <c r="F158" s="200" t="str">
        <f t="shared" si="7"/>
        <v/>
      </c>
    </row>
    <row r="159" spans="6:6">
      <c r="F159" s="200" t="str">
        <f t="shared" si="7"/>
        <v/>
      </c>
    </row>
    <row r="160" spans="6:6">
      <c r="F160" s="200" t="str">
        <f t="shared" si="7"/>
        <v/>
      </c>
    </row>
    <row r="161" spans="6:6">
      <c r="F161" s="200" t="str">
        <f t="shared" si="7"/>
        <v/>
      </c>
    </row>
    <row r="162" spans="6:6">
      <c r="F162" s="200" t="str">
        <f t="shared" si="7"/>
        <v/>
      </c>
    </row>
    <row r="163" spans="6:6">
      <c r="F163" s="200" t="str">
        <f t="shared" si="7"/>
        <v/>
      </c>
    </row>
    <row r="164" spans="6:6">
      <c r="F164" s="200" t="str">
        <f t="shared" si="7"/>
        <v/>
      </c>
    </row>
    <row r="165" spans="6:6">
      <c r="F165" s="200" t="str">
        <f t="shared" si="7"/>
        <v/>
      </c>
    </row>
    <row r="166" spans="6:6">
      <c r="F166" s="200" t="str">
        <f t="shared" si="7"/>
        <v/>
      </c>
    </row>
    <row r="167" spans="6:6">
      <c r="F167" s="200" t="str">
        <f t="shared" si="7"/>
        <v/>
      </c>
    </row>
    <row r="168" spans="6:6">
      <c r="F168" s="200" t="str">
        <f t="shared" si="7"/>
        <v/>
      </c>
    </row>
    <row r="169" spans="6:6">
      <c r="F169" s="200" t="str">
        <f t="shared" si="7"/>
        <v/>
      </c>
    </row>
    <row r="170" spans="6:6">
      <c r="F170" s="200" t="str">
        <f t="shared" si="7"/>
        <v/>
      </c>
    </row>
    <row r="171" spans="6:6">
      <c r="F171" s="200" t="str">
        <f t="shared" si="7"/>
        <v/>
      </c>
    </row>
    <row r="172" spans="6:6">
      <c r="F172" s="200" t="str">
        <f t="shared" si="7"/>
        <v/>
      </c>
    </row>
    <row r="173" spans="6:6">
      <c r="F173" s="200" t="str">
        <f t="shared" si="7"/>
        <v/>
      </c>
    </row>
    <row r="174" spans="6:6">
      <c r="F174" s="200" t="str">
        <f t="shared" si="7"/>
        <v/>
      </c>
    </row>
    <row r="175" spans="6:6">
      <c r="F175" s="200" t="str">
        <f t="shared" si="7"/>
        <v/>
      </c>
    </row>
    <row r="176" spans="6:6">
      <c r="F176" s="200" t="str">
        <f t="shared" si="7"/>
        <v/>
      </c>
    </row>
    <row r="177" spans="6:6">
      <c r="F177" s="200" t="str">
        <f t="shared" si="7"/>
        <v/>
      </c>
    </row>
    <row r="178" spans="6:6">
      <c r="F178" s="200" t="str">
        <f t="shared" si="7"/>
        <v/>
      </c>
    </row>
    <row r="179" spans="6:6">
      <c r="F179" s="200" t="str">
        <f t="shared" si="7"/>
        <v/>
      </c>
    </row>
    <row r="180" spans="6:6">
      <c r="F180" s="200" t="str">
        <f t="shared" si="7"/>
        <v/>
      </c>
    </row>
    <row r="181" spans="6:6">
      <c r="F181" s="200" t="str">
        <f t="shared" si="7"/>
        <v/>
      </c>
    </row>
    <row r="182" spans="6:6">
      <c r="F182" s="200" t="str">
        <f t="shared" ref="F182:F228" si="8">IF(A182="","","-")</f>
        <v/>
      </c>
    </row>
    <row r="183" spans="6:6">
      <c r="F183" s="200" t="str">
        <f t="shared" si="8"/>
        <v/>
      </c>
    </row>
    <row r="184" spans="6:6">
      <c r="F184" s="200" t="str">
        <f t="shared" si="8"/>
        <v/>
      </c>
    </row>
    <row r="185" spans="6:6">
      <c r="F185" s="200" t="str">
        <f t="shared" si="8"/>
        <v/>
      </c>
    </row>
    <row r="186" spans="6:6">
      <c r="F186" s="200" t="str">
        <f t="shared" si="8"/>
        <v/>
      </c>
    </row>
    <row r="187" spans="6:6">
      <c r="F187" s="200" t="str">
        <f t="shared" si="8"/>
        <v/>
      </c>
    </row>
    <row r="188" spans="6:6">
      <c r="F188" s="200" t="str">
        <f t="shared" si="8"/>
        <v/>
      </c>
    </row>
    <row r="189" spans="6:6">
      <c r="F189" s="200" t="str">
        <f t="shared" si="8"/>
        <v/>
      </c>
    </row>
    <row r="190" spans="6:6">
      <c r="F190" s="200" t="str">
        <f t="shared" si="8"/>
        <v/>
      </c>
    </row>
    <row r="191" spans="6:6">
      <c r="F191" s="200" t="str">
        <f t="shared" si="8"/>
        <v/>
      </c>
    </row>
    <row r="192" spans="6:6">
      <c r="F192" s="200" t="str">
        <f t="shared" si="8"/>
        <v/>
      </c>
    </row>
    <row r="193" spans="6:6">
      <c r="F193" s="200" t="str">
        <f t="shared" si="8"/>
        <v/>
      </c>
    </row>
    <row r="194" spans="6:6">
      <c r="F194" s="200" t="str">
        <f t="shared" si="8"/>
        <v/>
      </c>
    </row>
    <row r="195" spans="6:6">
      <c r="F195" s="200" t="str">
        <f t="shared" si="8"/>
        <v/>
      </c>
    </row>
    <row r="196" spans="6:6">
      <c r="F196" s="200" t="str">
        <f t="shared" si="8"/>
        <v/>
      </c>
    </row>
    <row r="197" spans="6:6">
      <c r="F197" s="200" t="str">
        <f t="shared" si="8"/>
        <v/>
      </c>
    </row>
    <row r="198" spans="6:6">
      <c r="F198" s="200" t="str">
        <f t="shared" si="8"/>
        <v/>
      </c>
    </row>
    <row r="199" spans="6:6">
      <c r="F199" s="200" t="str">
        <f t="shared" si="8"/>
        <v/>
      </c>
    </row>
    <row r="200" spans="6:6">
      <c r="F200" s="200" t="str">
        <f t="shared" si="8"/>
        <v/>
      </c>
    </row>
    <row r="201" spans="6:6">
      <c r="F201" s="200" t="str">
        <f t="shared" si="8"/>
        <v/>
      </c>
    </row>
    <row r="202" spans="6:6">
      <c r="F202" s="200" t="str">
        <f t="shared" si="8"/>
        <v/>
      </c>
    </row>
    <row r="203" spans="6:6">
      <c r="F203" s="200" t="str">
        <f t="shared" si="8"/>
        <v/>
      </c>
    </row>
    <row r="204" spans="6:6">
      <c r="F204" s="200" t="str">
        <f t="shared" si="8"/>
        <v/>
      </c>
    </row>
    <row r="205" spans="6:6">
      <c r="F205" s="200" t="str">
        <f t="shared" si="8"/>
        <v/>
      </c>
    </row>
    <row r="206" spans="6:6">
      <c r="F206" s="200" t="str">
        <f t="shared" si="8"/>
        <v/>
      </c>
    </row>
    <row r="207" spans="6:6">
      <c r="F207" s="200" t="str">
        <f t="shared" si="8"/>
        <v/>
      </c>
    </row>
    <row r="208" spans="6:6">
      <c r="F208" s="200" t="str">
        <f t="shared" si="8"/>
        <v/>
      </c>
    </row>
    <row r="209" spans="6:6">
      <c r="F209" s="200" t="str">
        <f t="shared" si="8"/>
        <v/>
      </c>
    </row>
    <row r="210" spans="6:6">
      <c r="F210" s="200" t="str">
        <f t="shared" si="8"/>
        <v/>
      </c>
    </row>
    <row r="211" spans="6:6">
      <c r="F211" s="200" t="str">
        <f t="shared" si="8"/>
        <v/>
      </c>
    </row>
    <row r="212" spans="6:6">
      <c r="F212" s="200" t="str">
        <f t="shared" si="8"/>
        <v/>
      </c>
    </row>
    <row r="213" spans="6:6">
      <c r="F213" s="200" t="str">
        <f t="shared" si="8"/>
        <v/>
      </c>
    </row>
    <row r="214" spans="6:6">
      <c r="F214" s="200" t="str">
        <f t="shared" si="8"/>
        <v/>
      </c>
    </row>
    <row r="215" spans="6:6">
      <c r="F215" s="200" t="str">
        <f t="shared" si="8"/>
        <v/>
      </c>
    </row>
    <row r="216" spans="6:6">
      <c r="F216" s="200" t="str">
        <f t="shared" si="8"/>
        <v/>
      </c>
    </row>
    <row r="217" spans="6:6">
      <c r="F217" s="200" t="str">
        <f t="shared" si="8"/>
        <v/>
      </c>
    </row>
    <row r="218" spans="6:6">
      <c r="F218" s="200" t="str">
        <f t="shared" si="8"/>
        <v/>
      </c>
    </row>
    <row r="219" spans="6:6">
      <c r="F219" s="200" t="str">
        <f t="shared" si="8"/>
        <v/>
      </c>
    </row>
    <row r="220" spans="6:6">
      <c r="F220" s="200" t="str">
        <f t="shared" si="8"/>
        <v/>
      </c>
    </row>
    <row r="221" spans="6:6">
      <c r="F221" s="200" t="str">
        <f t="shared" si="8"/>
        <v/>
      </c>
    </row>
    <row r="222" spans="6:6">
      <c r="F222" s="200" t="str">
        <f t="shared" si="8"/>
        <v/>
      </c>
    </row>
    <row r="223" spans="6:6">
      <c r="F223" s="200" t="str">
        <f t="shared" si="8"/>
        <v/>
      </c>
    </row>
    <row r="224" spans="6:6">
      <c r="F224" s="200" t="str">
        <f t="shared" si="8"/>
        <v/>
      </c>
    </row>
    <row r="225" spans="6:6">
      <c r="F225" s="200" t="str">
        <f t="shared" si="8"/>
        <v/>
      </c>
    </row>
    <row r="226" spans="6:6">
      <c r="F226" s="200" t="str">
        <f t="shared" si="8"/>
        <v/>
      </c>
    </row>
    <row r="227" spans="6:6">
      <c r="F227" s="200" t="str">
        <f t="shared" si="8"/>
        <v/>
      </c>
    </row>
    <row r="228" spans="6:6">
      <c r="F228" s="200" t="str">
        <f t="shared" si="8"/>
        <v/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1000-000000000000}">
          <x14:formula1>
            <xm:f>Tag!$B$8:$B$22</xm:f>
          </x14:formula1>
          <xm:sqref>B5:B28 B30</xm:sqref>
        </x14:dataValidation>
        <x14:dataValidation type="list" allowBlank="1" showInputMessage="1" showErrorMessage="1" xr:uid="{00000000-0002-0000-1000-000001000000}">
          <x14:formula1>
            <xm:f>Tag!$B$8:$B$20</xm:f>
          </x14:formula1>
          <xm:sqref>B29 B31:B1048576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3"/>
  <dimension ref="A1:Z7"/>
  <sheetViews>
    <sheetView zoomScale="85" zoomScaleNormal="85" workbookViewId="0">
      <selection activeCell="Z4" sqref="Z4"/>
    </sheetView>
  </sheetViews>
  <sheetFormatPr defaultRowHeight="13.5"/>
  <cols>
    <col min="1" max="1" width="6.625" style="122" bestFit="1" customWidth="1"/>
    <col min="2" max="2" width="7" style="122" bestFit="1" customWidth="1"/>
    <col min="3" max="3" width="13.5" style="115" bestFit="1" customWidth="1"/>
    <col min="4" max="4" width="15.875" style="121" bestFit="1" customWidth="1"/>
    <col min="5" max="5" width="6.875" style="122" bestFit="1" customWidth="1"/>
    <col min="6" max="6" width="7.875" style="122" bestFit="1" customWidth="1"/>
    <col min="7" max="7" width="13.5" style="122" bestFit="1" customWidth="1"/>
    <col min="8" max="8" width="15.875" style="121" bestFit="1" customWidth="1"/>
    <col min="9" max="9" width="6.875" style="122" bestFit="1" customWidth="1"/>
    <col min="10" max="10" width="7.875" style="122" bestFit="1" customWidth="1"/>
    <col min="11" max="11" width="13.5" style="122" bestFit="1" customWidth="1"/>
    <col min="12" max="12" width="15.875" style="121" bestFit="1" customWidth="1"/>
    <col min="13" max="13" width="6.875" style="122" bestFit="1" customWidth="1"/>
    <col min="14" max="14" width="7.875" style="122" bestFit="1" customWidth="1"/>
    <col min="15" max="15" width="13.5" style="122" bestFit="1" customWidth="1"/>
    <col min="16" max="16" width="15.875" style="121" bestFit="1" customWidth="1"/>
    <col min="17" max="17" width="6.875" style="122" bestFit="1" customWidth="1"/>
    <col min="18" max="18" width="7.875" style="122" bestFit="1" customWidth="1"/>
    <col min="19" max="19" width="13.5" style="122" bestFit="1" customWidth="1"/>
    <col min="20" max="20" width="15.875" style="121" bestFit="1" customWidth="1"/>
    <col min="21" max="21" width="6.875" style="122" bestFit="1" customWidth="1"/>
    <col min="22" max="22" width="7.875" style="122" bestFit="1" customWidth="1"/>
    <col min="23" max="23" width="9.875" style="122" bestFit="1" customWidth="1"/>
    <col min="24" max="24" width="15.875" style="121" bestFit="1" customWidth="1"/>
    <col min="25" max="25" width="9.5" style="122" bestFit="1" customWidth="1"/>
    <col min="26" max="26" width="11" style="122" bestFit="1" customWidth="1"/>
    <col min="27" max="16384" width="9" style="122"/>
  </cols>
  <sheetData>
    <row r="1" spans="1:26" s="134" customFormat="1">
      <c r="A1" s="134" t="s">
        <v>907</v>
      </c>
      <c r="B1" s="134" t="s">
        <v>908</v>
      </c>
      <c r="C1" s="134" t="s">
        <v>909</v>
      </c>
      <c r="D1" s="126" t="s">
        <v>910</v>
      </c>
      <c r="E1" s="134" t="s">
        <v>911</v>
      </c>
      <c r="F1" s="134" t="s">
        <v>912</v>
      </c>
      <c r="G1" s="134" t="s">
        <v>230</v>
      </c>
      <c r="H1" s="126" t="s">
        <v>910</v>
      </c>
      <c r="I1" s="134" t="s">
        <v>913</v>
      </c>
      <c r="J1" s="134" t="s">
        <v>231</v>
      </c>
      <c r="K1" s="134" t="s">
        <v>232</v>
      </c>
      <c r="L1" s="126" t="s">
        <v>910</v>
      </c>
      <c r="M1" s="134" t="s">
        <v>914</v>
      </c>
      <c r="N1" s="134" t="s">
        <v>233</v>
      </c>
      <c r="O1" s="134" t="s">
        <v>234</v>
      </c>
      <c r="P1" s="126" t="s">
        <v>910</v>
      </c>
      <c r="Q1" s="134" t="s">
        <v>915</v>
      </c>
      <c r="R1" s="134" t="s">
        <v>235</v>
      </c>
      <c r="S1" s="134" t="s">
        <v>236</v>
      </c>
      <c r="T1" s="126" t="s">
        <v>910</v>
      </c>
      <c r="U1" s="134" t="s">
        <v>916</v>
      </c>
      <c r="V1" s="134" t="s">
        <v>237</v>
      </c>
      <c r="W1" s="134" t="s">
        <v>917</v>
      </c>
      <c r="X1" s="126" t="s">
        <v>910</v>
      </c>
      <c r="Y1" s="134" t="s">
        <v>918</v>
      </c>
      <c r="Z1" s="138" t="s">
        <v>919</v>
      </c>
    </row>
    <row r="2" spans="1:26" s="134" customFormat="1">
      <c r="A2" s="134" t="s">
        <v>920</v>
      </c>
      <c r="B2" s="134" t="s">
        <v>921</v>
      </c>
      <c r="C2" s="134" t="s">
        <v>922</v>
      </c>
      <c r="D2" s="126"/>
      <c r="E2" s="134" t="s">
        <v>923</v>
      </c>
      <c r="F2" s="134" t="s">
        <v>924</v>
      </c>
      <c r="G2" s="134" t="s">
        <v>238</v>
      </c>
      <c r="H2" s="126"/>
      <c r="I2" s="134" t="s">
        <v>925</v>
      </c>
      <c r="J2" s="134" t="s">
        <v>239</v>
      </c>
      <c r="K2" s="134" t="s">
        <v>240</v>
      </c>
      <c r="L2" s="126"/>
      <c r="M2" s="134" t="s">
        <v>926</v>
      </c>
      <c r="N2" s="134" t="s">
        <v>241</v>
      </c>
      <c r="O2" s="134" t="s">
        <v>242</v>
      </c>
      <c r="P2" s="126"/>
      <c r="Q2" s="134" t="s">
        <v>927</v>
      </c>
      <c r="R2" s="134" t="s">
        <v>243</v>
      </c>
      <c r="S2" s="134" t="s">
        <v>244</v>
      </c>
      <c r="T2" s="126"/>
      <c r="U2" s="134" t="s">
        <v>928</v>
      </c>
      <c r="V2" s="134" t="s">
        <v>245</v>
      </c>
      <c r="W2" s="134" t="s">
        <v>929</v>
      </c>
      <c r="X2" s="126"/>
      <c r="Y2" s="134" t="s">
        <v>930</v>
      </c>
      <c r="Z2" s="139" t="s">
        <v>931</v>
      </c>
    </row>
    <row r="3" spans="1:26" s="134" customFormat="1">
      <c r="A3" s="134" t="s">
        <v>14</v>
      </c>
      <c r="B3" s="134" t="s">
        <v>1334</v>
      </c>
      <c r="C3" s="134" t="s">
        <v>14</v>
      </c>
      <c r="D3" s="126"/>
      <c r="E3" s="134" t="s">
        <v>14</v>
      </c>
      <c r="F3" s="134" t="s">
        <v>1334</v>
      </c>
      <c r="G3" s="134" t="s">
        <v>14</v>
      </c>
      <c r="H3" s="126"/>
      <c r="I3" s="134" t="s">
        <v>14</v>
      </c>
      <c r="J3" s="134" t="s">
        <v>1334</v>
      </c>
      <c r="K3" s="134" t="s">
        <v>14</v>
      </c>
      <c r="L3" s="126"/>
      <c r="M3" s="134" t="s">
        <v>14</v>
      </c>
      <c r="N3" s="134" t="s">
        <v>1334</v>
      </c>
      <c r="O3" s="134" t="s">
        <v>14</v>
      </c>
      <c r="P3" s="126"/>
      <c r="Q3" s="134" t="s">
        <v>14</v>
      </c>
      <c r="R3" s="134" t="s">
        <v>1334</v>
      </c>
      <c r="S3" s="134" t="s">
        <v>14</v>
      </c>
      <c r="T3" s="126"/>
      <c r="U3" s="134" t="s">
        <v>14</v>
      </c>
      <c r="V3" s="134" t="s">
        <v>1334</v>
      </c>
      <c r="W3" s="134" t="s">
        <v>14</v>
      </c>
      <c r="X3" s="126"/>
      <c r="Y3" s="134" t="s">
        <v>1334</v>
      </c>
      <c r="Z3" s="139" t="s">
        <v>1335</v>
      </c>
    </row>
    <row r="4" spans="1:26">
      <c r="A4" s="122">
        <v>1</v>
      </c>
      <c r="B4" s="122">
        <v>3</v>
      </c>
      <c r="C4" s="135">
        <v>150001</v>
      </c>
      <c r="D4" s="152" t="e">
        <f>VLOOKUP(C4,Multilingual!$A:$B,2,FALSE)</f>
        <v>#N/A</v>
      </c>
      <c r="E4" s="122">
        <v>5000</v>
      </c>
      <c r="F4" s="122">
        <v>25</v>
      </c>
      <c r="G4" s="135">
        <v>150001</v>
      </c>
      <c r="H4" s="152" t="e">
        <f>VLOOKUP(G4,Multilingual!$A:$B,2,FALSE)</f>
        <v>#N/A</v>
      </c>
      <c r="I4" s="122">
        <v>5000</v>
      </c>
      <c r="J4" s="122">
        <v>40</v>
      </c>
      <c r="K4" s="153">
        <v>150008</v>
      </c>
      <c r="L4" s="152" t="e">
        <f>VLOOKUP(K4,Multilingual!$A:$B,2,FALSE)</f>
        <v>#N/A</v>
      </c>
      <c r="M4" s="122">
        <v>5000</v>
      </c>
      <c r="N4" s="122">
        <v>12</v>
      </c>
      <c r="O4" s="153">
        <v>150008</v>
      </c>
      <c r="P4" s="152" t="e">
        <f>VLOOKUP(O4,Multilingual!$A:$B,2,FALSE)</f>
        <v>#N/A</v>
      </c>
      <c r="Q4" s="122">
        <v>5000</v>
      </c>
      <c r="R4" s="122">
        <v>18</v>
      </c>
      <c r="S4" s="153">
        <v>150012</v>
      </c>
      <c r="T4" s="152" t="e">
        <f>VLOOKUP(S4,Multilingual!$A:$B,2,FALSE)</f>
        <v>#N/A</v>
      </c>
      <c r="U4" s="122">
        <v>5000</v>
      </c>
      <c r="V4" s="122">
        <v>15</v>
      </c>
      <c r="W4" s="122">
        <v>0</v>
      </c>
      <c r="X4" s="152" t="e">
        <f>VLOOKUP(W4,Multilingual!$A:$B,2,FALSE)</f>
        <v>#N/A</v>
      </c>
      <c r="Y4" s="122">
        <v>0</v>
      </c>
      <c r="Z4" s="122">
        <v>0</v>
      </c>
    </row>
    <row r="5" spans="1:26">
      <c r="A5" s="122">
        <v>2</v>
      </c>
      <c r="B5" s="122">
        <v>3</v>
      </c>
      <c r="C5" s="115">
        <v>150015</v>
      </c>
      <c r="D5" s="152" t="e">
        <f>VLOOKUP(C5,Multilingual!$A:$B,2,FALSE)</f>
        <v>#N/A</v>
      </c>
      <c r="E5" s="122">
        <v>5000</v>
      </c>
      <c r="F5" s="122">
        <v>15</v>
      </c>
      <c r="G5" s="135">
        <v>150001</v>
      </c>
      <c r="H5" s="152" t="e">
        <f>VLOOKUP(G5,Multilingual!$A:$B,2,FALSE)</f>
        <v>#N/A</v>
      </c>
      <c r="I5" s="122">
        <v>5000</v>
      </c>
      <c r="J5" s="122">
        <v>60</v>
      </c>
      <c r="K5" s="122">
        <v>150013</v>
      </c>
      <c r="L5" s="152" t="e">
        <f>VLOOKUP(K5,Multilingual!$A:$B,2,FALSE)</f>
        <v>#N/A</v>
      </c>
      <c r="M5" s="122">
        <v>5000</v>
      </c>
      <c r="N5" s="122">
        <v>25</v>
      </c>
      <c r="O5" s="122">
        <v>150016</v>
      </c>
      <c r="P5" s="152" t="e">
        <f>VLOOKUP(O5,Multilingual!$A:$B,2,FALSE)</f>
        <v>#N/A</v>
      </c>
      <c r="Q5" s="122">
        <v>5000</v>
      </c>
      <c r="R5" s="122">
        <v>25</v>
      </c>
      <c r="S5" s="122">
        <v>150018</v>
      </c>
      <c r="T5" s="152" t="e">
        <f>VLOOKUP(S5,Multilingual!$A:$B,2,FALSE)</f>
        <v>#N/A</v>
      </c>
      <c r="U5" s="122">
        <v>5000</v>
      </c>
      <c r="V5" s="122">
        <v>15</v>
      </c>
      <c r="W5" s="122">
        <v>0</v>
      </c>
      <c r="X5" s="152" t="e">
        <f>VLOOKUP(W5,Multilingual!$A:$B,2,FALSE)</f>
        <v>#N/A</v>
      </c>
      <c r="Y5" s="122">
        <v>0</v>
      </c>
      <c r="Z5" s="122">
        <v>0</v>
      </c>
    </row>
    <row r="6" spans="1:26">
      <c r="A6" s="122">
        <v>3</v>
      </c>
      <c r="B6" s="122">
        <v>3</v>
      </c>
      <c r="C6" s="122">
        <v>150018</v>
      </c>
      <c r="D6" s="152" t="e">
        <f>VLOOKUP(C6,Multilingual!$A:$B,2,FALSE)</f>
        <v>#N/A</v>
      </c>
      <c r="E6" s="122">
        <v>5000</v>
      </c>
      <c r="F6" s="122">
        <v>25</v>
      </c>
      <c r="G6" s="122">
        <v>150018</v>
      </c>
      <c r="H6" s="152" t="e">
        <f>VLOOKUP(G6,Multilingual!$A:$B,2,FALSE)</f>
        <v>#N/A</v>
      </c>
      <c r="I6" s="122">
        <v>5000</v>
      </c>
      <c r="J6" s="122">
        <v>38</v>
      </c>
      <c r="K6" s="122">
        <v>150019</v>
      </c>
      <c r="L6" s="152" t="e">
        <f>VLOOKUP(K6,Multilingual!$A:$B,2,FALSE)</f>
        <v>#N/A</v>
      </c>
      <c r="M6" s="122">
        <v>5000</v>
      </c>
      <c r="N6" s="122">
        <v>32</v>
      </c>
      <c r="O6" s="122">
        <v>150019</v>
      </c>
      <c r="P6" s="152" t="e">
        <f>VLOOKUP(O6,Multilingual!$A:$B,2,FALSE)</f>
        <v>#N/A</v>
      </c>
      <c r="Q6" s="122">
        <v>5000</v>
      </c>
      <c r="R6" s="122">
        <v>29</v>
      </c>
      <c r="S6" s="122">
        <v>150020</v>
      </c>
      <c r="T6" s="152" t="e">
        <f>VLOOKUP(S6,Multilingual!$A:$B,2,FALSE)</f>
        <v>#N/A</v>
      </c>
      <c r="U6" s="122">
        <v>5000</v>
      </c>
      <c r="V6" s="122">
        <v>22</v>
      </c>
      <c r="W6" s="122">
        <v>150021</v>
      </c>
      <c r="X6" s="152" t="e">
        <f>VLOOKUP(W6,Multilingual!$A:$B,2,FALSE)</f>
        <v>#N/A</v>
      </c>
      <c r="Y6" s="122">
        <v>1</v>
      </c>
      <c r="Z6" s="122">
        <v>10</v>
      </c>
    </row>
    <row r="7" spans="1:26">
      <c r="L7" s="152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8"/>
  <dimension ref="A1:J5"/>
  <sheetViews>
    <sheetView zoomScale="85" zoomScaleNormal="85" workbookViewId="0">
      <pane xSplit="4" ySplit="1" topLeftCell="E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C80" sqref="AC79:AC80"/>
    </sheetView>
  </sheetViews>
  <sheetFormatPr defaultRowHeight="13.5"/>
  <cols>
    <col min="1" max="3" width="10.75" style="135" customWidth="1"/>
    <col min="4" max="4" width="9.5" style="133" bestFit="1" customWidth="1"/>
    <col min="5" max="16384" width="9" style="135"/>
  </cols>
  <sheetData>
    <row r="1" spans="1:10" s="134" customFormat="1">
      <c r="A1" s="134" t="s">
        <v>543</v>
      </c>
      <c r="B1" s="134" t="s">
        <v>610</v>
      </c>
      <c r="C1" s="134" t="s">
        <v>985</v>
      </c>
      <c r="D1" s="126" t="s">
        <v>986</v>
      </c>
      <c r="E1" s="134" t="s">
        <v>987</v>
      </c>
      <c r="F1" s="134" t="s">
        <v>988</v>
      </c>
      <c r="G1" s="134" t="s">
        <v>613</v>
      </c>
      <c r="H1" s="134" t="s">
        <v>614</v>
      </c>
      <c r="I1" s="134" t="s">
        <v>615</v>
      </c>
      <c r="J1" s="134" t="s">
        <v>616</v>
      </c>
    </row>
    <row r="2" spans="1:10" s="134" customFormat="1">
      <c r="A2" s="134" t="s">
        <v>668</v>
      </c>
      <c r="B2" s="134" t="s">
        <v>958</v>
      </c>
      <c r="C2" s="134" t="s">
        <v>989</v>
      </c>
      <c r="D2" s="126"/>
      <c r="E2" s="134" t="s">
        <v>990</v>
      </c>
      <c r="F2" s="134" t="s">
        <v>991</v>
      </c>
      <c r="G2" s="134" t="s">
        <v>617</v>
      </c>
      <c r="H2" s="134" t="s">
        <v>618</v>
      </c>
      <c r="I2" s="134" t="s">
        <v>619</v>
      </c>
      <c r="J2" s="134" t="s">
        <v>620</v>
      </c>
    </row>
    <row r="3" spans="1:10" s="134" customFormat="1">
      <c r="A3" s="134" t="s">
        <v>14</v>
      </c>
      <c r="B3" s="134" t="s">
        <v>14</v>
      </c>
      <c r="C3" s="134" t="s">
        <v>14</v>
      </c>
      <c r="D3" s="126"/>
      <c r="E3" s="134" t="s">
        <v>14</v>
      </c>
      <c r="F3" s="134" t="s">
        <v>14</v>
      </c>
      <c r="G3" s="134" t="s">
        <v>14</v>
      </c>
      <c r="H3" s="134" t="s">
        <v>14</v>
      </c>
      <c r="I3" s="134" t="s">
        <v>14</v>
      </c>
      <c r="J3" s="134" t="s">
        <v>14</v>
      </c>
    </row>
    <row r="4" spans="1:10" s="137" customFormat="1">
      <c r="A4" s="130" t="s">
        <v>992</v>
      </c>
      <c r="B4" s="130"/>
      <c r="C4" s="130"/>
    </row>
    <row r="5" spans="1:10">
      <c r="A5" s="135">
        <v>1</v>
      </c>
      <c r="B5" s="135">
        <v>1</v>
      </c>
      <c r="C5" s="135">
        <v>0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BZ142"/>
  <sheetViews>
    <sheetView zoomScale="85" zoomScaleNormal="85" workbookViewId="0">
      <pane xSplit="3" ySplit="3" topLeftCell="D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D3" sqref="D3"/>
    </sheetView>
  </sheetViews>
  <sheetFormatPr defaultRowHeight="13.5"/>
  <cols>
    <col min="1" max="1" width="9.25" style="149" customWidth="1"/>
    <col min="2" max="2" width="9.25" style="149" bestFit="1" customWidth="1"/>
    <col min="3" max="3" width="15.875" style="133" bestFit="1" customWidth="1"/>
    <col min="4" max="4" width="11.625" style="149" bestFit="1" customWidth="1"/>
    <col min="5" max="6" width="10.25" style="149" bestFit="1" customWidth="1"/>
    <col min="7" max="7" width="8.375" style="149" bestFit="1" customWidth="1"/>
    <col min="8" max="8" width="9.125" style="149" bestFit="1" customWidth="1"/>
    <col min="9" max="9" width="8.25" style="149" bestFit="1" customWidth="1"/>
    <col min="10" max="10" width="10.25" style="149" bestFit="1" customWidth="1"/>
    <col min="11" max="11" width="12.625" style="149" bestFit="1" customWidth="1"/>
    <col min="12" max="12" width="9.375" style="149" bestFit="1" customWidth="1"/>
    <col min="13" max="13" width="12.75" style="149" bestFit="1" customWidth="1"/>
    <col min="14" max="14" width="9" style="149" bestFit="1" customWidth="1"/>
    <col min="15" max="15" width="8.125" style="149" bestFit="1" customWidth="1"/>
    <col min="16" max="17" width="10.25" style="149" bestFit="1" customWidth="1"/>
    <col min="18" max="18" width="10.75" style="149" bestFit="1" customWidth="1"/>
    <col min="19" max="19" width="7.5" style="149" bestFit="1" customWidth="1"/>
    <col min="20" max="20" width="12" style="149" bestFit="1" customWidth="1"/>
    <col min="21" max="21" width="7.125" style="149" bestFit="1" customWidth="1"/>
    <col min="22" max="22" width="11.625" style="149" bestFit="1" customWidth="1"/>
    <col min="23" max="23" width="12.25" style="149" bestFit="1" customWidth="1"/>
    <col min="24" max="24" width="6.625" style="149" bestFit="1" customWidth="1"/>
    <col min="25" max="25" width="14.125" style="149" bestFit="1" customWidth="1"/>
    <col min="26" max="26" width="11.25" style="149" bestFit="1" customWidth="1"/>
    <col min="27" max="27" width="14.375" style="149" bestFit="1" customWidth="1"/>
    <col min="28" max="28" width="11.625" style="149" bestFit="1" customWidth="1"/>
    <col min="29" max="29" width="20.25" style="149" bestFit="1" customWidth="1"/>
    <col min="30" max="30" width="20.75" style="149" bestFit="1" customWidth="1"/>
    <col min="31" max="31" width="18.375" style="149" bestFit="1" customWidth="1"/>
    <col min="32" max="32" width="16.625" style="149" bestFit="1" customWidth="1"/>
    <col min="33" max="33" width="18.75" style="149" bestFit="1" customWidth="1"/>
    <col min="34" max="34" width="16.875" style="149" bestFit="1" customWidth="1"/>
    <col min="35" max="35" width="21" style="149" bestFit="1" customWidth="1"/>
    <col min="36" max="36" width="20" style="149" bestFit="1" customWidth="1"/>
    <col min="37" max="38" width="10.75" style="149" bestFit="1" customWidth="1"/>
    <col min="39" max="40" width="10.25" style="149" bestFit="1" customWidth="1"/>
    <col min="41" max="41" width="16.125" style="149" bestFit="1" customWidth="1"/>
    <col min="42" max="42" width="16.625" style="149" bestFit="1" customWidth="1"/>
    <col min="43" max="44" width="16.625" style="149" customWidth="1"/>
    <col min="45" max="45" width="24.875" style="149" bestFit="1" customWidth="1"/>
    <col min="46" max="49" width="14.375" style="149" bestFit="1" customWidth="1"/>
    <col min="50" max="53" width="10.75" style="149" bestFit="1" customWidth="1"/>
    <col min="54" max="55" width="12.625" style="149" bestFit="1" customWidth="1"/>
    <col min="56" max="57" width="10.75" style="149" bestFit="1" customWidth="1"/>
    <col min="58" max="59" width="12.625" style="149" bestFit="1" customWidth="1"/>
    <col min="60" max="60" width="13.25" style="149" bestFit="1" customWidth="1"/>
    <col min="61" max="61" width="11.5" style="149" bestFit="1" customWidth="1"/>
    <col min="62" max="62" width="15" style="149" bestFit="1" customWidth="1"/>
    <col min="63" max="63" width="13.25" style="149" bestFit="1" customWidth="1"/>
    <col min="64" max="64" width="15" style="149" bestFit="1" customWidth="1"/>
    <col min="65" max="65" width="13.25" style="149" bestFit="1" customWidth="1"/>
    <col min="66" max="66" width="15" style="149" bestFit="1" customWidth="1"/>
    <col min="67" max="67" width="13.25" style="149" bestFit="1" customWidth="1"/>
    <col min="68" max="68" width="16.875" style="149" bestFit="1" customWidth="1"/>
    <col min="69" max="69" width="18.25" style="149" bestFit="1" customWidth="1"/>
    <col min="70" max="74" width="15" style="149" bestFit="1" customWidth="1"/>
    <col min="75" max="75" width="24.875" style="149" bestFit="1" customWidth="1"/>
    <col min="76" max="76" width="22.875" style="149" bestFit="1" customWidth="1"/>
    <col min="77" max="78" width="21.125" style="149" bestFit="1" customWidth="1"/>
    <col min="79" max="16384" width="9" style="149"/>
  </cols>
  <sheetData>
    <row r="1" spans="1:78" s="143" customFormat="1">
      <c r="A1" s="143" t="s">
        <v>621</v>
      </c>
      <c r="B1" s="143" t="s">
        <v>993</v>
      </c>
      <c r="C1" s="126" t="s">
        <v>622</v>
      </c>
      <c r="D1" s="143" t="s">
        <v>994</v>
      </c>
      <c r="E1" s="143" t="s">
        <v>995</v>
      </c>
      <c r="F1" s="143" t="s">
        <v>623</v>
      </c>
      <c r="G1" s="143" t="s">
        <v>624</v>
      </c>
      <c r="H1" s="143" t="s">
        <v>625</v>
      </c>
      <c r="I1" s="143" t="s">
        <v>626</v>
      </c>
      <c r="J1" s="143" t="s">
        <v>627</v>
      </c>
      <c r="K1" s="143" t="s">
        <v>996</v>
      </c>
      <c r="L1" s="143" t="s">
        <v>997</v>
      </c>
      <c r="M1" s="143" t="s">
        <v>998</v>
      </c>
      <c r="N1" s="143" t="s">
        <v>999</v>
      </c>
      <c r="O1" s="143" t="s">
        <v>1000</v>
      </c>
      <c r="P1" s="143" t="s">
        <v>1001</v>
      </c>
      <c r="Q1" s="143" t="s">
        <v>1002</v>
      </c>
      <c r="R1" s="143" t="s">
        <v>1003</v>
      </c>
      <c r="S1" s="143" t="s">
        <v>1004</v>
      </c>
      <c r="T1" s="143" t="s">
        <v>1005</v>
      </c>
      <c r="U1" s="143" t="s">
        <v>1006</v>
      </c>
      <c r="V1" s="143" t="s">
        <v>1007</v>
      </c>
      <c r="W1" s="143" t="s">
        <v>1008</v>
      </c>
      <c r="X1" s="143" t="s">
        <v>1009</v>
      </c>
      <c r="Y1" s="143" t="s">
        <v>1010</v>
      </c>
      <c r="Z1" s="143" t="s">
        <v>1011</v>
      </c>
      <c r="AA1" s="143" t="s">
        <v>514</v>
      </c>
      <c r="AB1" s="143" t="s">
        <v>515</v>
      </c>
      <c r="AC1" s="143" t="s">
        <v>1012</v>
      </c>
      <c r="AD1" s="143" t="s">
        <v>1013</v>
      </c>
      <c r="AE1" s="143" t="s">
        <v>1014</v>
      </c>
      <c r="AF1" s="143" t="s">
        <v>1015</v>
      </c>
      <c r="AG1" s="143" t="s">
        <v>516</v>
      </c>
      <c r="AH1" s="143" t="s">
        <v>517</v>
      </c>
      <c r="AI1" s="143" t="s">
        <v>1016</v>
      </c>
      <c r="AJ1" s="143" t="s">
        <v>1017</v>
      </c>
      <c r="AK1" s="143" t="s">
        <v>1018</v>
      </c>
      <c r="AL1" s="143" t="s">
        <v>518</v>
      </c>
      <c r="AM1" s="143" t="s">
        <v>1019</v>
      </c>
      <c r="AN1" s="143" t="s">
        <v>1020</v>
      </c>
      <c r="AO1" s="143" t="s">
        <v>1021</v>
      </c>
      <c r="AP1" s="143" t="s">
        <v>1022</v>
      </c>
      <c r="AQ1" s="143" t="s">
        <v>628</v>
      </c>
      <c r="AR1" s="143" t="s">
        <v>629</v>
      </c>
      <c r="AS1" s="143" t="s">
        <v>1023</v>
      </c>
      <c r="AT1" s="143" t="s">
        <v>1024</v>
      </c>
      <c r="AU1" s="143" t="s">
        <v>1025</v>
      </c>
      <c r="AV1" s="143" t="s">
        <v>1026</v>
      </c>
      <c r="AW1" s="143" t="s">
        <v>1027</v>
      </c>
      <c r="AX1" s="143" t="s">
        <v>519</v>
      </c>
      <c r="AY1" s="143" t="s">
        <v>520</v>
      </c>
      <c r="AZ1" s="143" t="s">
        <v>521</v>
      </c>
      <c r="BA1" s="143" t="s">
        <v>522</v>
      </c>
      <c r="BB1" s="143" t="s">
        <v>523</v>
      </c>
      <c r="BC1" s="143" t="s">
        <v>524</v>
      </c>
      <c r="BD1" s="143" t="s">
        <v>525</v>
      </c>
      <c r="BE1" s="143" t="s">
        <v>526</v>
      </c>
      <c r="BF1" s="143" t="s">
        <v>527</v>
      </c>
      <c r="BG1" s="143" t="s">
        <v>528</v>
      </c>
      <c r="BH1" s="143" t="s">
        <v>1028</v>
      </c>
      <c r="BI1" s="143" t="s">
        <v>1029</v>
      </c>
      <c r="BJ1" s="143" t="s">
        <v>1030</v>
      </c>
      <c r="BK1" s="143" t="s">
        <v>1031</v>
      </c>
      <c r="BL1" s="143" t="s">
        <v>1032</v>
      </c>
      <c r="BM1" s="143" t="s">
        <v>1033</v>
      </c>
      <c r="BN1" s="143" t="s">
        <v>1034</v>
      </c>
      <c r="BO1" s="143" t="s">
        <v>1035</v>
      </c>
      <c r="BP1" s="143" t="s">
        <v>1036</v>
      </c>
      <c r="BQ1" s="143" t="s">
        <v>1037</v>
      </c>
      <c r="BR1" s="143" t="s">
        <v>1038</v>
      </c>
      <c r="BS1" s="143" t="s">
        <v>1039</v>
      </c>
      <c r="BT1" s="143" t="s">
        <v>1040</v>
      </c>
      <c r="BU1" s="143" t="s">
        <v>1041</v>
      </c>
      <c r="BV1" s="143" t="s">
        <v>1042</v>
      </c>
      <c r="BW1" s="143" t="s">
        <v>1043</v>
      </c>
      <c r="BX1" s="143" t="s">
        <v>1044</v>
      </c>
      <c r="BY1" s="143" t="s">
        <v>1045</v>
      </c>
      <c r="BZ1" s="143" t="s">
        <v>1046</v>
      </c>
    </row>
    <row r="2" spans="1:78" s="143" customFormat="1">
      <c r="A2" s="143" t="s">
        <v>1047</v>
      </c>
      <c r="B2" s="143" t="s">
        <v>1048</v>
      </c>
      <c r="C2" s="126"/>
      <c r="D2" s="143" t="s">
        <v>529</v>
      </c>
      <c r="E2" s="143" t="s">
        <v>1049</v>
      </c>
      <c r="F2" s="143" t="s">
        <v>215</v>
      </c>
      <c r="G2" s="143" t="s">
        <v>220</v>
      </c>
      <c r="H2" s="143" t="s">
        <v>221</v>
      </c>
      <c r="I2" s="143" t="s">
        <v>222</v>
      </c>
      <c r="J2" s="143" t="s">
        <v>1050</v>
      </c>
      <c r="K2" s="143" t="s">
        <v>1051</v>
      </c>
      <c r="L2" s="143" t="s">
        <v>1052</v>
      </c>
      <c r="M2" s="143" t="s">
        <v>1053</v>
      </c>
      <c r="N2" s="143" t="s">
        <v>1054</v>
      </c>
      <c r="O2" s="143" t="s">
        <v>1055</v>
      </c>
      <c r="P2" s="143" t="s">
        <v>312</v>
      </c>
      <c r="Q2" s="143" t="s">
        <v>313</v>
      </c>
      <c r="R2" s="143" t="s">
        <v>314</v>
      </c>
      <c r="S2" s="143" t="s">
        <v>1056</v>
      </c>
      <c r="T2" s="143" t="s">
        <v>224</v>
      </c>
      <c r="U2" s="143" t="s">
        <v>223</v>
      </c>
      <c r="V2" s="143" t="s">
        <v>530</v>
      </c>
      <c r="W2" s="143" t="s">
        <v>225</v>
      </c>
      <c r="X2" s="143" t="s">
        <v>1057</v>
      </c>
      <c r="Y2" s="143" t="s">
        <v>1058</v>
      </c>
      <c r="Z2" s="143" t="s">
        <v>531</v>
      </c>
      <c r="AA2" s="143" t="s">
        <v>1059</v>
      </c>
      <c r="AB2" s="143" t="s">
        <v>1060</v>
      </c>
      <c r="AC2" s="143" t="s">
        <v>1061</v>
      </c>
      <c r="AD2" s="143" t="s">
        <v>1062</v>
      </c>
      <c r="AE2" s="143" t="s">
        <v>1063</v>
      </c>
      <c r="AF2" s="143" t="s">
        <v>1064</v>
      </c>
      <c r="AG2" s="143" t="s">
        <v>532</v>
      </c>
      <c r="AH2" s="143" t="s">
        <v>533</v>
      </c>
      <c r="AI2" s="143" t="s">
        <v>1065</v>
      </c>
      <c r="AJ2" s="143" t="s">
        <v>1066</v>
      </c>
      <c r="AK2" s="143" t="s">
        <v>1067</v>
      </c>
      <c r="AL2" s="143" t="s">
        <v>1068</v>
      </c>
      <c r="AM2" s="143" t="s">
        <v>1069</v>
      </c>
      <c r="AN2" s="143" t="s">
        <v>1070</v>
      </c>
      <c r="AO2" s="143" t="s">
        <v>1071</v>
      </c>
      <c r="AP2" s="143" t="s">
        <v>1072</v>
      </c>
      <c r="AQ2" s="143" t="s">
        <v>630</v>
      </c>
      <c r="AR2" s="143" t="s">
        <v>631</v>
      </c>
      <c r="AS2" s="143" t="s">
        <v>1073</v>
      </c>
      <c r="AT2" s="143" t="s">
        <v>1074</v>
      </c>
      <c r="AU2" s="143" t="s">
        <v>1075</v>
      </c>
      <c r="AV2" s="143" t="s">
        <v>1076</v>
      </c>
      <c r="AW2" s="143" t="s">
        <v>1077</v>
      </c>
      <c r="AX2" s="143" t="s">
        <v>1078</v>
      </c>
      <c r="AY2" s="143" t="s">
        <v>1079</v>
      </c>
      <c r="AZ2" s="143" t="s">
        <v>1080</v>
      </c>
      <c r="BA2" s="143" t="s">
        <v>1081</v>
      </c>
      <c r="BB2" s="143" t="s">
        <v>1082</v>
      </c>
      <c r="BC2" s="143" t="s">
        <v>1083</v>
      </c>
      <c r="BD2" s="143" t="s">
        <v>1084</v>
      </c>
      <c r="BE2" s="143" t="s">
        <v>1085</v>
      </c>
      <c r="BF2" s="143" t="s">
        <v>1086</v>
      </c>
      <c r="BG2" s="143" t="s">
        <v>1087</v>
      </c>
      <c r="BH2" s="143" t="s">
        <v>1088</v>
      </c>
      <c r="BI2" s="143" t="s">
        <v>1089</v>
      </c>
      <c r="BJ2" s="143" t="s">
        <v>1090</v>
      </c>
      <c r="BK2" s="143" t="s">
        <v>1091</v>
      </c>
      <c r="BL2" s="143" t="s">
        <v>1092</v>
      </c>
      <c r="BM2" s="143" t="s">
        <v>1093</v>
      </c>
      <c r="BN2" s="143" t="s">
        <v>1094</v>
      </c>
      <c r="BO2" s="143" t="s">
        <v>1095</v>
      </c>
      <c r="BP2" s="143" t="s">
        <v>1096</v>
      </c>
      <c r="BQ2" s="143" t="s">
        <v>1097</v>
      </c>
      <c r="BR2" s="143" t="s">
        <v>1098</v>
      </c>
      <c r="BS2" s="143" t="s">
        <v>1099</v>
      </c>
      <c r="BT2" s="143" t="s">
        <v>1100</v>
      </c>
      <c r="BU2" s="143" t="s">
        <v>1101</v>
      </c>
      <c r="BV2" s="143" t="s">
        <v>1102</v>
      </c>
      <c r="BW2" s="143" t="s">
        <v>1103</v>
      </c>
      <c r="BX2" s="143" t="s">
        <v>1104</v>
      </c>
      <c r="BY2" s="143" t="s">
        <v>1105</v>
      </c>
      <c r="BZ2" s="143" t="s">
        <v>1106</v>
      </c>
    </row>
    <row r="3" spans="1:78" s="143" customFormat="1">
      <c r="A3" s="143" t="s">
        <v>1107</v>
      </c>
      <c r="B3" s="143" t="s">
        <v>1107</v>
      </c>
      <c r="C3" s="126"/>
      <c r="D3" s="143" t="s">
        <v>1108</v>
      </c>
      <c r="E3" s="143" t="s">
        <v>1108</v>
      </c>
      <c r="F3" s="143" t="s">
        <v>1107</v>
      </c>
      <c r="G3" s="143" t="s">
        <v>1107</v>
      </c>
      <c r="H3" s="143" t="s">
        <v>1336</v>
      </c>
      <c r="I3" s="143" t="s">
        <v>1107</v>
      </c>
      <c r="J3" s="143" t="s">
        <v>1108</v>
      </c>
      <c r="K3" s="143" t="s">
        <v>1107</v>
      </c>
      <c r="L3" s="143" t="s">
        <v>1107</v>
      </c>
      <c r="M3" s="143" t="s">
        <v>1107</v>
      </c>
      <c r="N3" s="143" t="s">
        <v>1107</v>
      </c>
      <c r="O3" s="143" t="s">
        <v>1107</v>
      </c>
      <c r="P3" s="143" t="s">
        <v>1108</v>
      </c>
      <c r="Q3" s="143" t="s">
        <v>1108</v>
      </c>
      <c r="R3" s="143" t="s">
        <v>1108</v>
      </c>
      <c r="S3" s="143" t="s">
        <v>1107</v>
      </c>
      <c r="T3" s="143" t="s">
        <v>1107</v>
      </c>
      <c r="U3" s="143" t="s">
        <v>1107</v>
      </c>
      <c r="V3" s="143" t="s">
        <v>1108</v>
      </c>
      <c r="W3" s="143" t="s">
        <v>1108</v>
      </c>
      <c r="X3" s="143" t="s">
        <v>1107</v>
      </c>
      <c r="Y3" s="143" t="s">
        <v>1107</v>
      </c>
      <c r="Z3" s="143" t="s">
        <v>1107</v>
      </c>
      <c r="AA3" s="143" t="s">
        <v>1107</v>
      </c>
      <c r="AB3" s="143" t="s">
        <v>1107</v>
      </c>
      <c r="AC3" s="143" t="s">
        <v>1107</v>
      </c>
      <c r="AD3" s="143" t="s">
        <v>1107</v>
      </c>
      <c r="AE3" s="143" t="s">
        <v>1107</v>
      </c>
      <c r="AF3" s="143" t="s">
        <v>1107</v>
      </c>
      <c r="AG3" s="143" t="s">
        <v>1107</v>
      </c>
      <c r="AH3" s="143" t="s">
        <v>1107</v>
      </c>
      <c r="AI3" s="143" t="s">
        <v>1107</v>
      </c>
      <c r="AJ3" s="143" t="s">
        <v>1107</v>
      </c>
      <c r="AK3" s="143" t="s">
        <v>1107</v>
      </c>
      <c r="AL3" s="143" t="s">
        <v>1107</v>
      </c>
      <c r="AM3" s="143" t="s">
        <v>1107</v>
      </c>
      <c r="AN3" s="143" t="s">
        <v>1107</v>
      </c>
      <c r="AO3" s="143" t="s">
        <v>1107</v>
      </c>
      <c r="AP3" s="143" t="s">
        <v>1107</v>
      </c>
      <c r="AQ3" s="143" t="s">
        <v>1107</v>
      </c>
      <c r="AR3" s="143" t="s">
        <v>1107</v>
      </c>
      <c r="AS3" s="143" t="s">
        <v>1107</v>
      </c>
      <c r="AT3" s="143" t="s">
        <v>1107</v>
      </c>
      <c r="AU3" s="143" t="s">
        <v>1107</v>
      </c>
      <c r="AV3" s="143" t="s">
        <v>1107</v>
      </c>
      <c r="AW3" s="143" t="s">
        <v>1107</v>
      </c>
      <c r="AX3" s="143" t="s">
        <v>1107</v>
      </c>
      <c r="AY3" s="143" t="s">
        <v>1107</v>
      </c>
      <c r="AZ3" s="143" t="s">
        <v>1107</v>
      </c>
      <c r="BA3" s="143" t="s">
        <v>1107</v>
      </c>
      <c r="BB3" s="143" t="s">
        <v>1107</v>
      </c>
      <c r="BC3" s="143" t="s">
        <v>1107</v>
      </c>
      <c r="BD3" s="143" t="s">
        <v>1107</v>
      </c>
      <c r="BE3" s="143" t="s">
        <v>1107</v>
      </c>
      <c r="BF3" s="143" t="s">
        <v>1107</v>
      </c>
      <c r="BG3" s="143" t="s">
        <v>1107</v>
      </c>
      <c r="BH3" s="143" t="s">
        <v>1107</v>
      </c>
      <c r="BI3" s="143" t="s">
        <v>1107</v>
      </c>
      <c r="BJ3" s="143" t="s">
        <v>1107</v>
      </c>
      <c r="BK3" s="143" t="s">
        <v>1107</v>
      </c>
      <c r="BL3" s="143" t="s">
        <v>1107</v>
      </c>
      <c r="BM3" s="143" t="s">
        <v>1107</v>
      </c>
      <c r="BN3" s="143" t="s">
        <v>1107</v>
      </c>
      <c r="BO3" s="143" t="s">
        <v>1107</v>
      </c>
      <c r="BP3" s="143" t="s">
        <v>1107</v>
      </c>
      <c r="BQ3" s="143" t="s">
        <v>1107</v>
      </c>
      <c r="BR3" s="143" t="s">
        <v>1107</v>
      </c>
      <c r="BS3" s="143" t="s">
        <v>1107</v>
      </c>
      <c r="BT3" s="143" t="s">
        <v>1107</v>
      </c>
      <c r="BU3" s="143" t="s">
        <v>1107</v>
      </c>
      <c r="BV3" s="143" t="s">
        <v>1107</v>
      </c>
      <c r="BW3" s="143" t="s">
        <v>1107</v>
      </c>
      <c r="BX3" s="143" t="s">
        <v>1107</v>
      </c>
      <c r="BY3" s="143" t="s">
        <v>1107</v>
      </c>
      <c r="BZ3" s="143" t="s">
        <v>1107</v>
      </c>
    </row>
    <row r="4" spans="1:78" s="137" customFormat="1">
      <c r="A4" s="130" t="s">
        <v>1109</v>
      </c>
      <c r="B4" s="127"/>
    </row>
    <row r="5" spans="1:78">
      <c r="A5" s="149">
        <v>101</v>
      </c>
      <c r="B5" s="135">
        <v>300001</v>
      </c>
      <c r="C5" s="133" t="str">
        <f>VLOOKUP(B5,Multilingual!A:B,2,FALSE)</f>
        <v>저급 바지</v>
      </c>
      <c r="D5" s="149">
        <v>0</v>
      </c>
      <c r="E5" s="149">
        <v>0</v>
      </c>
      <c r="F5" s="149">
        <v>0</v>
      </c>
      <c r="G5" s="149">
        <v>1</v>
      </c>
      <c r="H5" s="149">
        <v>0</v>
      </c>
      <c r="I5" s="149">
        <v>0</v>
      </c>
      <c r="J5" s="149">
        <v>0</v>
      </c>
      <c r="K5" s="149">
        <v>0</v>
      </c>
      <c r="L5" s="149">
        <v>0</v>
      </c>
      <c r="M5" s="149">
        <v>0</v>
      </c>
      <c r="N5" s="149">
        <v>0</v>
      </c>
      <c r="O5" s="149">
        <v>0</v>
      </c>
      <c r="P5" s="149">
        <v>0</v>
      </c>
      <c r="Q5" s="149">
        <v>0</v>
      </c>
      <c r="R5" s="149">
        <v>0</v>
      </c>
      <c r="S5" s="135">
        <v>510001</v>
      </c>
      <c r="T5" s="149">
        <v>0</v>
      </c>
      <c r="U5" s="149">
        <v>0</v>
      </c>
      <c r="V5" s="149">
        <v>0</v>
      </c>
      <c r="W5" s="149">
        <v>0</v>
      </c>
      <c r="X5" s="149">
        <v>1</v>
      </c>
      <c r="Y5" s="149">
        <v>0</v>
      </c>
      <c r="Z5" s="149">
        <v>0</v>
      </c>
      <c r="AA5" s="149">
        <v>0</v>
      </c>
      <c r="AB5" s="149">
        <v>0</v>
      </c>
      <c r="AC5" s="149">
        <v>0</v>
      </c>
      <c r="AD5" s="149">
        <v>0</v>
      </c>
      <c r="AE5" s="149">
        <v>0</v>
      </c>
      <c r="AF5" s="149">
        <v>0</v>
      </c>
      <c r="AG5" s="149">
        <v>0</v>
      </c>
      <c r="AH5" s="149">
        <v>0</v>
      </c>
      <c r="AI5" s="149">
        <v>0</v>
      </c>
      <c r="AJ5" s="149">
        <v>0</v>
      </c>
      <c r="AK5" s="149">
        <v>0</v>
      </c>
      <c r="AL5" s="149">
        <v>0</v>
      </c>
      <c r="AM5" s="149">
        <v>0</v>
      </c>
      <c r="AN5" s="149">
        <v>0</v>
      </c>
      <c r="AO5" s="149">
        <v>700</v>
      </c>
      <c r="AP5" s="149">
        <v>0</v>
      </c>
      <c r="AQ5" s="149">
        <v>0</v>
      </c>
      <c r="AR5" s="149">
        <v>0</v>
      </c>
      <c r="AS5" s="149">
        <v>0</v>
      </c>
      <c r="AT5" s="149">
        <v>0</v>
      </c>
      <c r="AU5" s="149">
        <v>0</v>
      </c>
      <c r="AV5" s="149">
        <v>0</v>
      </c>
      <c r="AW5" s="149">
        <v>0</v>
      </c>
      <c r="AX5" s="149">
        <v>0</v>
      </c>
      <c r="AY5" s="149">
        <v>0</v>
      </c>
      <c r="AZ5" s="149">
        <v>0</v>
      </c>
      <c r="BA5" s="149">
        <v>0</v>
      </c>
      <c r="BB5" s="149">
        <v>0</v>
      </c>
      <c r="BC5" s="149">
        <v>0</v>
      </c>
      <c r="BD5" s="149">
        <v>0</v>
      </c>
      <c r="BE5" s="149">
        <v>0</v>
      </c>
      <c r="BF5" s="149">
        <v>0</v>
      </c>
      <c r="BG5" s="149">
        <v>0</v>
      </c>
      <c r="BH5" s="149">
        <v>0</v>
      </c>
      <c r="BI5" s="149">
        <v>0</v>
      </c>
      <c r="BJ5" s="149">
        <v>0</v>
      </c>
      <c r="BK5" s="149">
        <v>0</v>
      </c>
      <c r="BL5" s="149">
        <v>0</v>
      </c>
      <c r="BM5" s="149">
        <v>0</v>
      </c>
      <c r="BN5" s="149">
        <v>0</v>
      </c>
      <c r="BO5" s="149">
        <v>0</v>
      </c>
      <c r="BP5" s="149">
        <v>0</v>
      </c>
      <c r="BQ5" s="149">
        <v>0</v>
      </c>
      <c r="BR5" s="149">
        <v>0</v>
      </c>
      <c r="BS5" s="149">
        <v>0</v>
      </c>
      <c r="BT5" s="149">
        <v>0</v>
      </c>
      <c r="BU5" s="149">
        <v>0</v>
      </c>
      <c r="BV5" s="149">
        <v>0</v>
      </c>
      <c r="BW5" s="149">
        <v>0</v>
      </c>
      <c r="BX5" s="149">
        <v>0</v>
      </c>
      <c r="BY5" s="149">
        <v>0</v>
      </c>
      <c r="BZ5" s="149">
        <v>0</v>
      </c>
    </row>
    <row r="6" spans="1:78">
      <c r="A6" s="149">
        <f>A5+1</f>
        <v>102</v>
      </c>
      <c r="B6" s="135">
        <f>B5</f>
        <v>300001</v>
      </c>
      <c r="C6" s="133" t="str">
        <f>VLOOKUP(B6,Multilingual!A:B,2,FALSE)</f>
        <v>저급 바지</v>
      </c>
      <c r="D6" s="149">
        <v>0</v>
      </c>
      <c r="E6" s="149">
        <v>0</v>
      </c>
      <c r="F6" s="149">
        <v>101</v>
      </c>
      <c r="G6" s="149">
        <v>1</v>
      </c>
      <c r="H6" s="149">
        <v>0</v>
      </c>
      <c r="I6" s="149">
        <v>0</v>
      </c>
      <c r="J6" s="149">
        <v>0</v>
      </c>
      <c r="K6" s="149">
        <v>0</v>
      </c>
      <c r="L6" s="149">
        <v>0</v>
      </c>
      <c r="M6" s="149">
        <v>0</v>
      </c>
      <c r="N6" s="149">
        <v>0</v>
      </c>
      <c r="O6" s="149">
        <v>0</v>
      </c>
      <c r="P6" s="149">
        <v>0</v>
      </c>
      <c r="Q6" s="149">
        <v>0</v>
      </c>
      <c r="R6" s="149">
        <v>0</v>
      </c>
      <c r="S6" s="135">
        <f>S5+1</f>
        <v>510002</v>
      </c>
      <c r="T6" s="149">
        <v>0</v>
      </c>
      <c r="U6" s="149">
        <v>0</v>
      </c>
      <c r="V6" s="149">
        <v>0</v>
      </c>
      <c r="W6" s="149">
        <v>0</v>
      </c>
      <c r="X6" s="149">
        <v>1</v>
      </c>
      <c r="Y6" s="149">
        <v>0</v>
      </c>
      <c r="Z6" s="149">
        <v>0</v>
      </c>
      <c r="AA6" s="149">
        <v>0</v>
      </c>
      <c r="AB6" s="149">
        <v>0</v>
      </c>
      <c r="AC6" s="149">
        <v>0</v>
      </c>
      <c r="AD6" s="149">
        <v>0</v>
      </c>
      <c r="AE6" s="149">
        <v>0</v>
      </c>
      <c r="AF6" s="149">
        <v>0</v>
      </c>
      <c r="AG6" s="149">
        <v>0</v>
      </c>
      <c r="AH6" s="149">
        <v>0</v>
      </c>
      <c r="AI6" s="149">
        <v>0</v>
      </c>
      <c r="AJ6" s="149">
        <v>0</v>
      </c>
      <c r="AK6" s="149">
        <v>0</v>
      </c>
      <c r="AL6" s="149">
        <v>0</v>
      </c>
      <c r="AM6" s="149">
        <v>0</v>
      </c>
      <c r="AN6" s="149">
        <v>0</v>
      </c>
      <c r="AO6" s="149">
        <f>AO5+150</f>
        <v>850</v>
      </c>
      <c r="AP6" s="149">
        <v>0</v>
      </c>
      <c r="AQ6" s="149">
        <v>0</v>
      </c>
      <c r="AR6" s="149">
        <v>0</v>
      </c>
      <c r="AS6" s="149">
        <v>0</v>
      </c>
      <c r="AT6" s="149">
        <v>0</v>
      </c>
      <c r="AU6" s="149">
        <v>0</v>
      </c>
      <c r="AV6" s="149">
        <v>0</v>
      </c>
      <c r="AW6" s="149">
        <v>0</v>
      </c>
      <c r="AX6" s="149">
        <v>0</v>
      </c>
      <c r="AY6" s="149">
        <v>0</v>
      </c>
      <c r="AZ6" s="149">
        <v>0</v>
      </c>
      <c r="BA6" s="149">
        <v>0</v>
      </c>
      <c r="BB6" s="149">
        <v>0</v>
      </c>
      <c r="BC6" s="149">
        <v>0</v>
      </c>
      <c r="BD6" s="149">
        <v>0</v>
      </c>
      <c r="BE6" s="149">
        <v>0</v>
      </c>
      <c r="BF6" s="149">
        <v>0</v>
      </c>
      <c r="BG6" s="149">
        <v>0</v>
      </c>
      <c r="BH6" s="149">
        <v>0</v>
      </c>
      <c r="BI6" s="149">
        <v>0</v>
      </c>
      <c r="BJ6" s="149">
        <v>0</v>
      </c>
      <c r="BK6" s="149">
        <v>0</v>
      </c>
      <c r="BL6" s="149">
        <v>0</v>
      </c>
      <c r="BM6" s="149">
        <v>0</v>
      </c>
      <c r="BN6" s="149">
        <v>0</v>
      </c>
      <c r="BO6" s="149">
        <v>0</v>
      </c>
      <c r="BP6" s="149">
        <v>0</v>
      </c>
      <c r="BQ6" s="149">
        <v>0</v>
      </c>
      <c r="BR6" s="149">
        <v>0</v>
      </c>
      <c r="BS6" s="149">
        <v>0</v>
      </c>
      <c r="BT6" s="149">
        <v>0</v>
      </c>
      <c r="BU6" s="149">
        <v>0</v>
      </c>
      <c r="BV6" s="149">
        <v>0</v>
      </c>
      <c r="BW6" s="149">
        <v>0</v>
      </c>
      <c r="BX6" s="149">
        <v>0</v>
      </c>
      <c r="BY6" s="149">
        <v>0</v>
      </c>
      <c r="BZ6" s="149">
        <v>0</v>
      </c>
    </row>
    <row r="7" spans="1:78">
      <c r="A7" s="149">
        <f t="shared" ref="A7:A54" si="0">A6+1</f>
        <v>103</v>
      </c>
      <c r="B7" s="135">
        <f t="shared" ref="B7:B14" si="1">B6</f>
        <v>300001</v>
      </c>
      <c r="C7" s="133" t="str">
        <f>VLOOKUP(B7,Multilingual!A:B,2,FALSE)</f>
        <v>저급 바지</v>
      </c>
      <c r="D7" s="149">
        <v>0</v>
      </c>
      <c r="E7" s="149">
        <v>0</v>
      </c>
      <c r="F7" s="149">
        <f>F6+1</f>
        <v>102</v>
      </c>
      <c r="G7" s="149">
        <v>1</v>
      </c>
      <c r="H7" s="149">
        <v>0</v>
      </c>
      <c r="I7" s="149">
        <v>0</v>
      </c>
      <c r="J7" s="149">
        <v>0</v>
      </c>
      <c r="K7" s="149">
        <v>0</v>
      </c>
      <c r="L7" s="149">
        <v>0</v>
      </c>
      <c r="M7" s="149">
        <v>0</v>
      </c>
      <c r="N7" s="149">
        <v>0</v>
      </c>
      <c r="O7" s="149">
        <v>0</v>
      </c>
      <c r="P7" s="149">
        <v>0</v>
      </c>
      <c r="Q7" s="149">
        <v>0</v>
      </c>
      <c r="R7" s="149">
        <v>0</v>
      </c>
      <c r="S7" s="135">
        <f t="shared" ref="S7:S14" si="2">S6+1</f>
        <v>510003</v>
      </c>
      <c r="T7" s="149">
        <v>0</v>
      </c>
      <c r="U7" s="149">
        <v>0</v>
      </c>
      <c r="V7" s="149">
        <v>0</v>
      </c>
      <c r="W7" s="149">
        <v>0</v>
      </c>
      <c r="X7" s="149">
        <v>1</v>
      </c>
      <c r="Y7" s="149">
        <v>0</v>
      </c>
      <c r="Z7" s="149">
        <v>0</v>
      </c>
      <c r="AA7" s="149">
        <v>0</v>
      </c>
      <c r="AB7" s="149">
        <v>0</v>
      </c>
      <c r="AC7" s="149">
        <v>0</v>
      </c>
      <c r="AD7" s="149">
        <v>0</v>
      </c>
      <c r="AE7" s="149">
        <v>0</v>
      </c>
      <c r="AF7" s="149">
        <v>0</v>
      </c>
      <c r="AG7" s="149">
        <v>0</v>
      </c>
      <c r="AH7" s="149">
        <v>0</v>
      </c>
      <c r="AI7" s="149">
        <v>0</v>
      </c>
      <c r="AJ7" s="149">
        <v>0</v>
      </c>
      <c r="AK7" s="149">
        <v>0</v>
      </c>
      <c r="AL7" s="149">
        <v>0</v>
      </c>
      <c r="AM7" s="149">
        <v>0</v>
      </c>
      <c r="AN7" s="149">
        <v>0</v>
      </c>
      <c r="AO7" s="149">
        <f t="shared" ref="AO7:AO14" si="3">AO6+150</f>
        <v>1000</v>
      </c>
      <c r="AP7" s="149">
        <v>0</v>
      </c>
      <c r="AQ7" s="149">
        <v>0</v>
      </c>
      <c r="AR7" s="149">
        <v>0</v>
      </c>
      <c r="AS7" s="149">
        <v>0</v>
      </c>
      <c r="AT7" s="149">
        <v>0</v>
      </c>
      <c r="AU7" s="149">
        <v>0</v>
      </c>
      <c r="AV7" s="149">
        <v>0</v>
      </c>
      <c r="AW7" s="149">
        <v>0</v>
      </c>
      <c r="AX7" s="149">
        <v>0</v>
      </c>
      <c r="AY7" s="149">
        <v>0</v>
      </c>
      <c r="AZ7" s="149">
        <v>0</v>
      </c>
      <c r="BA7" s="149">
        <v>0</v>
      </c>
      <c r="BB7" s="149">
        <v>0</v>
      </c>
      <c r="BC7" s="149">
        <v>0</v>
      </c>
      <c r="BD7" s="149">
        <v>0</v>
      </c>
      <c r="BE7" s="149">
        <v>0</v>
      </c>
      <c r="BF7" s="149">
        <v>0</v>
      </c>
      <c r="BG7" s="149">
        <v>0</v>
      </c>
      <c r="BH7" s="149">
        <v>0</v>
      </c>
      <c r="BI7" s="149">
        <v>0</v>
      </c>
      <c r="BJ7" s="149">
        <v>0</v>
      </c>
      <c r="BK7" s="149">
        <v>0</v>
      </c>
      <c r="BL7" s="149">
        <v>0</v>
      </c>
      <c r="BM7" s="149">
        <v>0</v>
      </c>
      <c r="BN7" s="149">
        <v>0</v>
      </c>
      <c r="BO7" s="149">
        <v>0</v>
      </c>
      <c r="BP7" s="149">
        <v>0</v>
      </c>
      <c r="BQ7" s="149">
        <v>0</v>
      </c>
      <c r="BR7" s="149">
        <v>0</v>
      </c>
      <c r="BS7" s="149">
        <v>0</v>
      </c>
      <c r="BT7" s="149">
        <v>0</v>
      </c>
      <c r="BU7" s="149">
        <v>0</v>
      </c>
      <c r="BV7" s="149">
        <v>0</v>
      </c>
      <c r="BW7" s="149">
        <v>0</v>
      </c>
      <c r="BX7" s="149">
        <v>0</v>
      </c>
      <c r="BY7" s="149">
        <v>0</v>
      </c>
      <c r="BZ7" s="149">
        <v>0</v>
      </c>
    </row>
    <row r="8" spans="1:78">
      <c r="A8" s="149">
        <f t="shared" si="0"/>
        <v>104</v>
      </c>
      <c r="B8" s="135">
        <f t="shared" si="1"/>
        <v>300001</v>
      </c>
      <c r="C8" s="133" t="str">
        <f>VLOOKUP(B8,Multilingual!A:B,2,FALSE)</f>
        <v>저급 바지</v>
      </c>
      <c r="D8" s="149">
        <v>0</v>
      </c>
      <c r="E8" s="149">
        <v>0</v>
      </c>
      <c r="F8" s="149">
        <f t="shared" ref="F8:F24" si="4">F7+1</f>
        <v>103</v>
      </c>
      <c r="G8" s="149">
        <v>1</v>
      </c>
      <c r="H8" s="149">
        <v>0</v>
      </c>
      <c r="I8" s="149">
        <v>0</v>
      </c>
      <c r="J8" s="149">
        <v>0</v>
      </c>
      <c r="K8" s="149">
        <v>0</v>
      </c>
      <c r="L8" s="149">
        <v>0</v>
      </c>
      <c r="M8" s="149">
        <v>0</v>
      </c>
      <c r="N8" s="149">
        <v>0</v>
      </c>
      <c r="O8" s="149">
        <v>0</v>
      </c>
      <c r="P8" s="149">
        <v>0</v>
      </c>
      <c r="Q8" s="149">
        <v>0</v>
      </c>
      <c r="R8" s="149">
        <v>0</v>
      </c>
      <c r="S8" s="135">
        <f t="shared" si="2"/>
        <v>510004</v>
      </c>
      <c r="T8" s="149">
        <v>0</v>
      </c>
      <c r="U8" s="149">
        <v>0</v>
      </c>
      <c r="V8" s="149">
        <v>0</v>
      </c>
      <c r="W8" s="149">
        <v>0</v>
      </c>
      <c r="X8" s="149">
        <v>1</v>
      </c>
      <c r="Y8" s="149">
        <v>0</v>
      </c>
      <c r="Z8" s="149">
        <v>0</v>
      </c>
      <c r="AA8" s="149">
        <v>0</v>
      </c>
      <c r="AB8" s="149">
        <v>0</v>
      </c>
      <c r="AC8" s="149">
        <v>0</v>
      </c>
      <c r="AD8" s="149">
        <v>0</v>
      </c>
      <c r="AE8" s="149">
        <v>0</v>
      </c>
      <c r="AF8" s="149">
        <v>0</v>
      </c>
      <c r="AG8" s="149">
        <v>0</v>
      </c>
      <c r="AH8" s="149">
        <v>0</v>
      </c>
      <c r="AI8" s="149">
        <v>0</v>
      </c>
      <c r="AJ8" s="149">
        <v>0</v>
      </c>
      <c r="AK8" s="149">
        <v>0</v>
      </c>
      <c r="AL8" s="149">
        <v>0</v>
      </c>
      <c r="AM8" s="149">
        <v>0</v>
      </c>
      <c r="AN8" s="149">
        <v>0</v>
      </c>
      <c r="AO8" s="149">
        <f t="shared" si="3"/>
        <v>1150</v>
      </c>
      <c r="AP8" s="149">
        <v>0</v>
      </c>
      <c r="AQ8" s="149">
        <v>0</v>
      </c>
      <c r="AR8" s="149">
        <v>0</v>
      </c>
      <c r="AS8" s="149">
        <v>0</v>
      </c>
      <c r="AT8" s="149">
        <v>0</v>
      </c>
      <c r="AU8" s="149">
        <v>0</v>
      </c>
      <c r="AV8" s="149">
        <v>0</v>
      </c>
      <c r="AW8" s="149">
        <v>0</v>
      </c>
      <c r="AX8" s="149">
        <v>0</v>
      </c>
      <c r="AY8" s="149">
        <v>0</v>
      </c>
      <c r="AZ8" s="149">
        <v>0</v>
      </c>
      <c r="BA8" s="149">
        <v>0</v>
      </c>
      <c r="BB8" s="149">
        <v>0</v>
      </c>
      <c r="BC8" s="149">
        <v>0</v>
      </c>
      <c r="BD8" s="149">
        <v>0</v>
      </c>
      <c r="BE8" s="149">
        <v>0</v>
      </c>
      <c r="BF8" s="149">
        <v>0</v>
      </c>
      <c r="BG8" s="149">
        <v>0</v>
      </c>
      <c r="BH8" s="149">
        <v>0</v>
      </c>
      <c r="BI8" s="149">
        <v>0</v>
      </c>
      <c r="BJ8" s="149">
        <v>0</v>
      </c>
      <c r="BK8" s="149">
        <v>0</v>
      </c>
      <c r="BL8" s="149">
        <v>0</v>
      </c>
      <c r="BM8" s="149">
        <v>0</v>
      </c>
      <c r="BN8" s="149">
        <v>0</v>
      </c>
      <c r="BO8" s="149">
        <v>0</v>
      </c>
      <c r="BP8" s="149">
        <v>0</v>
      </c>
      <c r="BQ8" s="149">
        <v>0</v>
      </c>
      <c r="BR8" s="149">
        <v>0</v>
      </c>
      <c r="BS8" s="149">
        <v>0</v>
      </c>
      <c r="BT8" s="149">
        <v>0</v>
      </c>
      <c r="BU8" s="149">
        <v>0</v>
      </c>
      <c r="BV8" s="149">
        <v>0</v>
      </c>
      <c r="BW8" s="149">
        <v>0</v>
      </c>
      <c r="BX8" s="149">
        <v>0</v>
      </c>
      <c r="BY8" s="149">
        <v>0</v>
      </c>
      <c r="BZ8" s="149">
        <v>0</v>
      </c>
    </row>
    <row r="9" spans="1:78">
      <c r="A9" s="149">
        <f t="shared" si="0"/>
        <v>105</v>
      </c>
      <c r="B9" s="135">
        <f t="shared" si="1"/>
        <v>300001</v>
      </c>
      <c r="C9" s="133" t="str">
        <f>VLOOKUP(B9,Multilingual!A:B,2,FALSE)</f>
        <v>저급 바지</v>
      </c>
      <c r="D9" s="149">
        <v>0</v>
      </c>
      <c r="E9" s="149">
        <v>0</v>
      </c>
      <c r="F9" s="149">
        <f t="shared" si="4"/>
        <v>104</v>
      </c>
      <c r="G9" s="149">
        <v>1</v>
      </c>
      <c r="H9" s="149">
        <v>0</v>
      </c>
      <c r="I9" s="149">
        <v>0</v>
      </c>
      <c r="J9" s="149">
        <v>0</v>
      </c>
      <c r="K9" s="149">
        <v>0</v>
      </c>
      <c r="L9" s="149">
        <v>0</v>
      </c>
      <c r="M9" s="149">
        <v>0</v>
      </c>
      <c r="N9" s="149">
        <v>0</v>
      </c>
      <c r="O9" s="149">
        <v>0</v>
      </c>
      <c r="P9" s="149">
        <v>0</v>
      </c>
      <c r="Q9" s="149">
        <v>0</v>
      </c>
      <c r="R9" s="149">
        <v>0</v>
      </c>
      <c r="S9" s="135">
        <f t="shared" si="2"/>
        <v>510005</v>
      </c>
      <c r="T9" s="149">
        <v>0</v>
      </c>
      <c r="U9" s="149">
        <v>0</v>
      </c>
      <c r="V9" s="149">
        <v>0</v>
      </c>
      <c r="W9" s="149">
        <v>0</v>
      </c>
      <c r="X9" s="149">
        <v>1</v>
      </c>
      <c r="Y9" s="149">
        <v>0</v>
      </c>
      <c r="Z9" s="149">
        <v>0</v>
      </c>
      <c r="AA9" s="149">
        <v>0</v>
      </c>
      <c r="AB9" s="149">
        <v>0</v>
      </c>
      <c r="AC9" s="149">
        <v>0</v>
      </c>
      <c r="AD9" s="149">
        <v>0</v>
      </c>
      <c r="AE9" s="149">
        <v>0</v>
      </c>
      <c r="AF9" s="149">
        <v>0</v>
      </c>
      <c r="AG9" s="149">
        <v>0</v>
      </c>
      <c r="AH9" s="149">
        <v>0</v>
      </c>
      <c r="AI9" s="149">
        <v>0</v>
      </c>
      <c r="AJ9" s="149">
        <v>0</v>
      </c>
      <c r="AK9" s="149">
        <v>0</v>
      </c>
      <c r="AL9" s="149">
        <v>0</v>
      </c>
      <c r="AM9" s="149">
        <v>0</v>
      </c>
      <c r="AN9" s="149">
        <v>0</v>
      </c>
      <c r="AO9" s="149">
        <f t="shared" si="3"/>
        <v>1300</v>
      </c>
      <c r="AP9" s="149">
        <v>0</v>
      </c>
      <c r="AQ9" s="149">
        <v>0</v>
      </c>
      <c r="AR9" s="149">
        <v>0</v>
      </c>
      <c r="AS9" s="149">
        <v>0</v>
      </c>
      <c r="AT9" s="149">
        <v>0</v>
      </c>
      <c r="AU9" s="149">
        <v>0</v>
      </c>
      <c r="AV9" s="149">
        <v>0</v>
      </c>
      <c r="AW9" s="149">
        <v>0</v>
      </c>
      <c r="AX9" s="149">
        <v>0</v>
      </c>
      <c r="AY9" s="149">
        <v>0</v>
      </c>
      <c r="AZ9" s="149">
        <v>0</v>
      </c>
      <c r="BA9" s="149">
        <v>0</v>
      </c>
      <c r="BB9" s="149">
        <v>0</v>
      </c>
      <c r="BC9" s="149">
        <v>0</v>
      </c>
      <c r="BD9" s="149">
        <v>0</v>
      </c>
      <c r="BE9" s="149">
        <v>0</v>
      </c>
      <c r="BF9" s="149">
        <v>0</v>
      </c>
      <c r="BG9" s="149">
        <v>0</v>
      </c>
      <c r="BH9" s="149">
        <v>0</v>
      </c>
      <c r="BI9" s="149">
        <v>0</v>
      </c>
      <c r="BJ9" s="149">
        <v>0</v>
      </c>
      <c r="BK9" s="149">
        <v>0</v>
      </c>
      <c r="BL9" s="149">
        <v>0</v>
      </c>
      <c r="BM9" s="149">
        <v>0</v>
      </c>
      <c r="BN9" s="149">
        <v>0</v>
      </c>
      <c r="BO9" s="149">
        <v>0</v>
      </c>
      <c r="BP9" s="149">
        <v>0</v>
      </c>
      <c r="BQ9" s="149">
        <v>0</v>
      </c>
      <c r="BR9" s="149">
        <v>0</v>
      </c>
      <c r="BS9" s="149">
        <v>0</v>
      </c>
      <c r="BT9" s="149">
        <v>0</v>
      </c>
      <c r="BU9" s="149">
        <v>0</v>
      </c>
      <c r="BV9" s="149">
        <v>0</v>
      </c>
      <c r="BW9" s="149">
        <v>0</v>
      </c>
      <c r="BX9" s="149">
        <v>0</v>
      </c>
      <c r="BY9" s="149">
        <v>0</v>
      </c>
      <c r="BZ9" s="149">
        <v>0</v>
      </c>
    </row>
    <row r="10" spans="1:78">
      <c r="A10" s="149">
        <f t="shared" si="0"/>
        <v>106</v>
      </c>
      <c r="B10" s="135">
        <f t="shared" si="1"/>
        <v>300001</v>
      </c>
      <c r="C10" s="133" t="str">
        <f>VLOOKUP(B10,Multilingual!A:B,2,FALSE)</f>
        <v>저급 바지</v>
      </c>
      <c r="D10" s="149">
        <v>0</v>
      </c>
      <c r="E10" s="149">
        <v>0</v>
      </c>
      <c r="F10" s="149">
        <f t="shared" si="4"/>
        <v>105</v>
      </c>
      <c r="G10" s="149">
        <v>1</v>
      </c>
      <c r="H10" s="149">
        <v>0</v>
      </c>
      <c r="I10" s="149">
        <v>0</v>
      </c>
      <c r="J10" s="149">
        <v>0</v>
      </c>
      <c r="K10" s="149">
        <v>0</v>
      </c>
      <c r="L10" s="149">
        <v>0</v>
      </c>
      <c r="M10" s="149">
        <v>0</v>
      </c>
      <c r="N10" s="149">
        <v>0</v>
      </c>
      <c r="O10" s="149">
        <v>0</v>
      </c>
      <c r="P10" s="149">
        <v>0</v>
      </c>
      <c r="Q10" s="149">
        <v>0</v>
      </c>
      <c r="R10" s="149">
        <v>0</v>
      </c>
      <c r="S10" s="135">
        <f t="shared" si="2"/>
        <v>510006</v>
      </c>
      <c r="T10" s="149">
        <v>0</v>
      </c>
      <c r="U10" s="149">
        <v>0</v>
      </c>
      <c r="V10" s="149">
        <v>0</v>
      </c>
      <c r="W10" s="149">
        <v>0</v>
      </c>
      <c r="X10" s="149">
        <v>1</v>
      </c>
      <c r="Y10" s="149">
        <v>0</v>
      </c>
      <c r="Z10" s="149">
        <v>0</v>
      </c>
      <c r="AA10" s="149">
        <v>0</v>
      </c>
      <c r="AB10" s="149">
        <v>0</v>
      </c>
      <c r="AC10" s="149">
        <v>0</v>
      </c>
      <c r="AD10" s="149">
        <v>0</v>
      </c>
      <c r="AE10" s="149">
        <v>0</v>
      </c>
      <c r="AF10" s="149">
        <v>0</v>
      </c>
      <c r="AG10" s="149">
        <v>0</v>
      </c>
      <c r="AH10" s="149">
        <v>0</v>
      </c>
      <c r="AI10" s="149">
        <v>0</v>
      </c>
      <c r="AJ10" s="149">
        <v>0</v>
      </c>
      <c r="AK10" s="149">
        <v>0</v>
      </c>
      <c r="AL10" s="149">
        <v>0</v>
      </c>
      <c r="AM10" s="149">
        <v>0</v>
      </c>
      <c r="AN10" s="149">
        <v>0</v>
      </c>
      <c r="AO10" s="149">
        <f t="shared" si="3"/>
        <v>1450</v>
      </c>
      <c r="AP10" s="149">
        <v>0</v>
      </c>
      <c r="AQ10" s="149">
        <v>0</v>
      </c>
      <c r="AR10" s="149">
        <v>0</v>
      </c>
      <c r="AS10" s="149">
        <v>0</v>
      </c>
      <c r="AT10" s="149">
        <v>0</v>
      </c>
      <c r="AU10" s="149">
        <v>0</v>
      </c>
      <c r="AV10" s="149">
        <v>0</v>
      </c>
      <c r="AW10" s="149">
        <v>0</v>
      </c>
      <c r="AX10" s="149">
        <v>0</v>
      </c>
      <c r="AY10" s="149">
        <v>0</v>
      </c>
      <c r="AZ10" s="149">
        <v>0</v>
      </c>
      <c r="BA10" s="149">
        <v>0</v>
      </c>
      <c r="BB10" s="149">
        <v>0</v>
      </c>
      <c r="BC10" s="149">
        <v>0</v>
      </c>
      <c r="BD10" s="149">
        <v>0</v>
      </c>
      <c r="BE10" s="149">
        <v>0</v>
      </c>
      <c r="BF10" s="149">
        <v>0</v>
      </c>
      <c r="BG10" s="149">
        <v>0</v>
      </c>
      <c r="BH10" s="149">
        <v>0</v>
      </c>
      <c r="BI10" s="149">
        <v>0</v>
      </c>
      <c r="BJ10" s="149">
        <v>0</v>
      </c>
      <c r="BK10" s="149">
        <v>0</v>
      </c>
      <c r="BL10" s="149">
        <v>0</v>
      </c>
      <c r="BM10" s="149">
        <v>0</v>
      </c>
      <c r="BN10" s="149">
        <v>0</v>
      </c>
      <c r="BO10" s="149">
        <v>0</v>
      </c>
      <c r="BP10" s="149">
        <v>0</v>
      </c>
      <c r="BQ10" s="149">
        <v>0</v>
      </c>
      <c r="BR10" s="149">
        <v>0</v>
      </c>
      <c r="BS10" s="149">
        <v>0</v>
      </c>
      <c r="BT10" s="149">
        <v>0</v>
      </c>
      <c r="BU10" s="149">
        <v>0</v>
      </c>
      <c r="BV10" s="149">
        <v>0</v>
      </c>
      <c r="BW10" s="149">
        <v>0</v>
      </c>
      <c r="BX10" s="149">
        <v>0</v>
      </c>
      <c r="BY10" s="149">
        <v>0</v>
      </c>
      <c r="BZ10" s="149">
        <v>0</v>
      </c>
    </row>
    <row r="11" spans="1:78">
      <c r="A11" s="149">
        <f t="shared" si="0"/>
        <v>107</v>
      </c>
      <c r="B11" s="135">
        <f t="shared" si="1"/>
        <v>300001</v>
      </c>
      <c r="C11" s="133" t="str">
        <f>VLOOKUP(B11,Multilingual!A:B,2,FALSE)</f>
        <v>저급 바지</v>
      </c>
      <c r="D11" s="149">
        <v>0</v>
      </c>
      <c r="E11" s="149">
        <v>0</v>
      </c>
      <c r="F11" s="149">
        <f t="shared" si="4"/>
        <v>106</v>
      </c>
      <c r="G11" s="149">
        <v>1</v>
      </c>
      <c r="H11" s="149">
        <v>0</v>
      </c>
      <c r="I11" s="149">
        <v>0</v>
      </c>
      <c r="J11" s="149">
        <v>0</v>
      </c>
      <c r="K11" s="149">
        <v>0</v>
      </c>
      <c r="L11" s="149">
        <v>0</v>
      </c>
      <c r="M11" s="149">
        <v>0</v>
      </c>
      <c r="N11" s="149">
        <v>0</v>
      </c>
      <c r="O11" s="149">
        <v>0</v>
      </c>
      <c r="P11" s="149">
        <v>0</v>
      </c>
      <c r="Q11" s="149">
        <v>0</v>
      </c>
      <c r="R11" s="149">
        <v>0</v>
      </c>
      <c r="S11" s="135">
        <f t="shared" si="2"/>
        <v>510007</v>
      </c>
      <c r="T11" s="149">
        <v>0</v>
      </c>
      <c r="U11" s="149">
        <v>0</v>
      </c>
      <c r="V11" s="149">
        <v>0</v>
      </c>
      <c r="W11" s="149">
        <v>0</v>
      </c>
      <c r="X11" s="149">
        <v>1</v>
      </c>
      <c r="Y11" s="149">
        <v>0</v>
      </c>
      <c r="Z11" s="149">
        <v>0</v>
      </c>
      <c r="AA11" s="149">
        <v>0</v>
      </c>
      <c r="AB11" s="149">
        <v>0</v>
      </c>
      <c r="AC11" s="149">
        <v>0</v>
      </c>
      <c r="AD11" s="149">
        <v>0</v>
      </c>
      <c r="AE11" s="149">
        <v>0</v>
      </c>
      <c r="AF11" s="149">
        <v>0</v>
      </c>
      <c r="AG11" s="149">
        <v>0</v>
      </c>
      <c r="AH11" s="149">
        <v>0</v>
      </c>
      <c r="AI11" s="149">
        <v>0</v>
      </c>
      <c r="AJ11" s="149">
        <v>0</v>
      </c>
      <c r="AK11" s="149">
        <v>0</v>
      </c>
      <c r="AL11" s="149">
        <v>0</v>
      </c>
      <c r="AM11" s="149">
        <v>0</v>
      </c>
      <c r="AN11" s="149">
        <v>0</v>
      </c>
      <c r="AO11" s="149">
        <f t="shared" si="3"/>
        <v>1600</v>
      </c>
      <c r="AP11" s="149">
        <v>0</v>
      </c>
      <c r="AQ11" s="149">
        <v>0</v>
      </c>
      <c r="AR11" s="149">
        <v>0</v>
      </c>
      <c r="AS11" s="149">
        <v>0</v>
      </c>
      <c r="AT11" s="149">
        <v>0</v>
      </c>
      <c r="AU11" s="149">
        <v>0</v>
      </c>
      <c r="AV11" s="149">
        <v>0</v>
      </c>
      <c r="AW11" s="149">
        <v>0</v>
      </c>
      <c r="AX11" s="149">
        <v>0</v>
      </c>
      <c r="AY11" s="149">
        <v>0</v>
      </c>
      <c r="AZ11" s="149">
        <v>0</v>
      </c>
      <c r="BA11" s="149">
        <v>0</v>
      </c>
      <c r="BB11" s="149">
        <v>0</v>
      </c>
      <c r="BC11" s="149">
        <v>0</v>
      </c>
      <c r="BD11" s="149">
        <v>0</v>
      </c>
      <c r="BE11" s="149">
        <v>0</v>
      </c>
      <c r="BF11" s="149">
        <v>0</v>
      </c>
      <c r="BG11" s="149">
        <v>0</v>
      </c>
      <c r="BH11" s="149">
        <v>0</v>
      </c>
      <c r="BI11" s="149">
        <v>0</v>
      </c>
      <c r="BJ11" s="149">
        <v>0</v>
      </c>
      <c r="BK11" s="149">
        <v>0</v>
      </c>
      <c r="BL11" s="149">
        <v>0</v>
      </c>
      <c r="BM11" s="149">
        <v>0</v>
      </c>
      <c r="BN11" s="149">
        <v>0</v>
      </c>
      <c r="BO11" s="149">
        <v>0</v>
      </c>
      <c r="BP11" s="149">
        <v>0</v>
      </c>
      <c r="BQ11" s="149">
        <v>0</v>
      </c>
      <c r="BR11" s="149">
        <v>0</v>
      </c>
      <c r="BS11" s="149">
        <v>0</v>
      </c>
      <c r="BT11" s="149">
        <v>0</v>
      </c>
      <c r="BU11" s="149">
        <v>0</v>
      </c>
      <c r="BV11" s="149">
        <v>0</v>
      </c>
      <c r="BW11" s="149">
        <v>0</v>
      </c>
      <c r="BX11" s="149">
        <v>0</v>
      </c>
      <c r="BY11" s="149">
        <v>0</v>
      </c>
      <c r="BZ11" s="149">
        <v>0</v>
      </c>
    </row>
    <row r="12" spans="1:78">
      <c r="A12" s="149">
        <f t="shared" si="0"/>
        <v>108</v>
      </c>
      <c r="B12" s="135">
        <f t="shared" si="1"/>
        <v>300001</v>
      </c>
      <c r="C12" s="133" t="str">
        <f>VLOOKUP(B12,Multilingual!A:B,2,FALSE)</f>
        <v>저급 바지</v>
      </c>
      <c r="D12" s="149">
        <v>0</v>
      </c>
      <c r="E12" s="149">
        <v>0</v>
      </c>
      <c r="F12" s="149">
        <f t="shared" si="4"/>
        <v>107</v>
      </c>
      <c r="G12" s="149">
        <v>1</v>
      </c>
      <c r="H12" s="149">
        <v>0</v>
      </c>
      <c r="I12" s="149">
        <v>0</v>
      </c>
      <c r="J12" s="149">
        <v>0</v>
      </c>
      <c r="K12" s="149">
        <v>0</v>
      </c>
      <c r="L12" s="149">
        <v>0</v>
      </c>
      <c r="M12" s="149">
        <v>0</v>
      </c>
      <c r="N12" s="149">
        <v>0</v>
      </c>
      <c r="O12" s="149">
        <v>0</v>
      </c>
      <c r="P12" s="149">
        <v>0</v>
      </c>
      <c r="Q12" s="149">
        <v>0</v>
      </c>
      <c r="R12" s="149">
        <v>0</v>
      </c>
      <c r="S12" s="135">
        <f t="shared" si="2"/>
        <v>510008</v>
      </c>
      <c r="T12" s="149">
        <v>0</v>
      </c>
      <c r="U12" s="149">
        <v>0</v>
      </c>
      <c r="V12" s="149">
        <v>0</v>
      </c>
      <c r="W12" s="149">
        <v>0</v>
      </c>
      <c r="X12" s="149">
        <v>1</v>
      </c>
      <c r="Y12" s="149">
        <v>0</v>
      </c>
      <c r="Z12" s="149">
        <v>0</v>
      </c>
      <c r="AA12" s="149">
        <v>0</v>
      </c>
      <c r="AB12" s="149">
        <v>0</v>
      </c>
      <c r="AC12" s="149">
        <v>0</v>
      </c>
      <c r="AD12" s="149">
        <v>0</v>
      </c>
      <c r="AE12" s="149">
        <v>0</v>
      </c>
      <c r="AF12" s="149">
        <v>0</v>
      </c>
      <c r="AG12" s="149">
        <v>0</v>
      </c>
      <c r="AH12" s="149">
        <v>0</v>
      </c>
      <c r="AI12" s="149">
        <v>0</v>
      </c>
      <c r="AJ12" s="149">
        <v>0</v>
      </c>
      <c r="AK12" s="149">
        <v>0</v>
      </c>
      <c r="AL12" s="149">
        <v>0</v>
      </c>
      <c r="AM12" s="149">
        <v>0</v>
      </c>
      <c r="AN12" s="149">
        <v>0</v>
      </c>
      <c r="AO12" s="149">
        <f t="shared" si="3"/>
        <v>1750</v>
      </c>
      <c r="AP12" s="149">
        <v>0</v>
      </c>
      <c r="AQ12" s="149">
        <v>0</v>
      </c>
      <c r="AR12" s="149">
        <v>0</v>
      </c>
      <c r="AS12" s="149">
        <v>0</v>
      </c>
      <c r="AT12" s="149">
        <v>0</v>
      </c>
      <c r="AU12" s="149">
        <v>0</v>
      </c>
      <c r="AV12" s="149">
        <v>0</v>
      </c>
      <c r="AW12" s="149">
        <v>0</v>
      </c>
      <c r="AX12" s="149">
        <v>0</v>
      </c>
      <c r="AY12" s="149">
        <v>0</v>
      </c>
      <c r="AZ12" s="149">
        <v>0</v>
      </c>
      <c r="BA12" s="149">
        <v>0</v>
      </c>
      <c r="BB12" s="149">
        <v>0</v>
      </c>
      <c r="BC12" s="149">
        <v>0</v>
      </c>
      <c r="BD12" s="149">
        <v>0</v>
      </c>
      <c r="BE12" s="149">
        <v>0</v>
      </c>
      <c r="BF12" s="149">
        <v>0</v>
      </c>
      <c r="BG12" s="149">
        <v>0</v>
      </c>
      <c r="BH12" s="149">
        <v>0</v>
      </c>
      <c r="BI12" s="149">
        <v>0</v>
      </c>
      <c r="BJ12" s="149">
        <v>0</v>
      </c>
      <c r="BK12" s="149">
        <v>0</v>
      </c>
      <c r="BL12" s="149">
        <v>0</v>
      </c>
      <c r="BM12" s="149">
        <v>0</v>
      </c>
      <c r="BN12" s="149">
        <v>0</v>
      </c>
      <c r="BO12" s="149">
        <v>0</v>
      </c>
      <c r="BP12" s="149">
        <v>0</v>
      </c>
      <c r="BQ12" s="149">
        <v>0</v>
      </c>
      <c r="BR12" s="149">
        <v>0</v>
      </c>
      <c r="BS12" s="149">
        <v>0</v>
      </c>
      <c r="BT12" s="149">
        <v>0</v>
      </c>
      <c r="BU12" s="149">
        <v>0</v>
      </c>
      <c r="BV12" s="149">
        <v>0</v>
      </c>
      <c r="BW12" s="149">
        <v>0</v>
      </c>
      <c r="BX12" s="149">
        <v>0</v>
      </c>
      <c r="BY12" s="149">
        <v>0</v>
      </c>
      <c r="BZ12" s="149">
        <v>0</v>
      </c>
    </row>
    <row r="13" spans="1:78">
      <c r="A13" s="149">
        <f t="shared" si="0"/>
        <v>109</v>
      </c>
      <c r="B13" s="135">
        <f t="shared" si="1"/>
        <v>300001</v>
      </c>
      <c r="C13" s="133" t="str">
        <f>VLOOKUP(B13,Multilingual!A:B,2,FALSE)</f>
        <v>저급 바지</v>
      </c>
      <c r="D13" s="149">
        <v>0</v>
      </c>
      <c r="E13" s="149">
        <v>0</v>
      </c>
      <c r="F13" s="149">
        <f t="shared" si="4"/>
        <v>108</v>
      </c>
      <c r="G13" s="149">
        <v>1</v>
      </c>
      <c r="H13" s="149">
        <v>0</v>
      </c>
      <c r="I13" s="149">
        <v>0</v>
      </c>
      <c r="J13" s="149">
        <v>0</v>
      </c>
      <c r="K13" s="149">
        <v>0</v>
      </c>
      <c r="L13" s="149">
        <v>0</v>
      </c>
      <c r="M13" s="149">
        <v>0</v>
      </c>
      <c r="N13" s="149">
        <v>0</v>
      </c>
      <c r="O13" s="149">
        <v>0</v>
      </c>
      <c r="P13" s="149">
        <v>0</v>
      </c>
      <c r="Q13" s="149">
        <v>0</v>
      </c>
      <c r="R13" s="149">
        <v>0</v>
      </c>
      <c r="S13" s="135">
        <f t="shared" si="2"/>
        <v>510009</v>
      </c>
      <c r="T13" s="149">
        <v>0</v>
      </c>
      <c r="U13" s="149">
        <v>0</v>
      </c>
      <c r="V13" s="149">
        <v>0</v>
      </c>
      <c r="W13" s="149">
        <v>0</v>
      </c>
      <c r="X13" s="149">
        <v>1</v>
      </c>
      <c r="Y13" s="149">
        <v>0</v>
      </c>
      <c r="Z13" s="149">
        <v>0</v>
      </c>
      <c r="AA13" s="149">
        <v>0</v>
      </c>
      <c r="AB13" s="149">
        <v>0</v>
      </c>
      <c r="AC13" s="149">
        <v>0</v>
      </c>
      <c r="AD13" s="149">
        <v>0</v>
      </c>
      <c r="AE13" s="149">
        <v>0</v>
      </c>
      <c r="AF13" s="149">
        <v>0</v>
      </c>
      <c r="AG13" s="149">
        <v>0</v>
      </c>
      <c r="AH13" s="149">
        <v>0</v>
      </c>
      <c r="AI13" s="149">
        <v>0</v>
      </c>
      <c r="AJ13" s="149">
        <v>0</v>
      </c>
      <c r="AK13" s="149">
        <v>0</v>
      </c>
      <c r="AL13" s="149">
        <v>0</v>
      </c>
      <c r="AM13" s="149">
        <v>0</v>
      </c>
      <c r="AN13" s="149">
        <v>0</v>
      </c>
      <c r="AO13" s="149">
        <f t="shared" si="3"/>
        <v>1900</v>
      </c>
      <c r="AP13" s="149">
        <v>0</v>
      </c>
      <c r="AQ13" s="149">
        <v>0</v>
      </c>
      <c r="AR13" s="149">
        <v>0</v>
      </c>
      <c r="AS13" s="149">
        <v>0</v>
      </c>
      <c r="AT13" s="149">
        <v>0</v>
      </c>
      <c r="AU13" s="149">
        <v>0</v>
      </c>
      <c r="AV13" s="149">
        <v>0</v>
      </c>
      <c r="AW13" s="149">
        <v>0</v>
      </c>
      <c r="AX13" s="149">
        <v>0</v>
      </c>
      <c r="AY13" s="149">
        <v>0</v>
      </c>
      <c r="AZ13" s="149">
        <v>0</v>
      </c>
      <c r="BA13" s="149">
        <v>0</v>
      </c>
      <c r="BB13" s="149">
        <v>0</v>
      </c>
      <c r="BC13" s="149">
        <v>0</v>
      </c>
      <c r="BD13" s="149">
        <v>0</v>
      </c>
      <c r="BE13" s="149">
        <v>0</v>
      </c>
      <c r="BF13" s="149">
        <v>0</v>
      </c>
      <c r="BG13" s="149">
        <v>0</v>
      </c>
      <c r="BH13" s="149">
        <v>0</v>
      </c>
      <c r="BI13" s="149">
        <v>0</v>
      </c>
      <c r="BJ13" s="149">
        <v>0</v>
      </c>
      <c r="BK13" s="149">
        <v>0</v>
      </c>
      <c r="BL13" s="149">
        <v>0</v>
      </c>
      <c r="BM13" s="149">
        <v>0</v>
      </c>
      <c r="BN13" s="149">
        <v>0</v>
      </c>
      <c r="BO13" s="149">
        <v>0</v>
      </c>
      <c r="BP13" s="149">
        <v>0</v>
      </c>
      <c r="BQ13" s="149">
        <v>0</v>
      </c>
      <c r="BR13" s="149">
        <v>0</v>
      </c>
      <c r="BS13" s="149">
        <v>0</v>
      </c>
      <c r="BT13" s="149">
        <v>0</v>
      </c>
      <c r="BU13" s="149">
        <v>0</v>
      </c>
      <c r="BV13" s="149">
        <v>0</v>
      </c>
      <c r="BW13" s="149">
        <v>0</v>
      </c>
      <c r="BX13" s="149">
        <v>0</v>
      </c>
      <c r="BY13" s="149">
        <v>0</v>
      </c>
      <c r="BZ13" s="149">
        <v>0</v>
      </c>
    </row>
    <row r="14" spans="1:78">
      <c r="A14" s="149">
        <f t="shared" si="0"/>
        <v>110</v>
      </c>
      <c r="B14" s="135">
        <f t="shared" si="1"/>
        <v>300001</v>
      </c>
      <c r="C14" s="133" t="str">
        <f>VLOOKUP(B14,Multilingual!A:B,2,FALSE)</f>
        <v>저급 바지</v>
      </c>
      <c r="D14" s="149">
        <v>0</v>
      </c>
      <c r="E14" s="149">
        <v>0</v>
      </c>
      <c r="F14" s="149">
        <f t="shared" si="4"/>
        <v>109</v>
      </c>
      <c r="G14" s="149">
        <v>1</v>
      </c>
      <c r="H14" s="149">
        <v>0</v>
      </c>
      <c r="I14" s="149">
        <v>0</v>
      </c>
      <c r="J14" s="149">
        <v>0</v>
      </c>
      <c r="K14" s="149">
        <v>0</v>
      </c>
      <c r="L14" s="149">
        <v>0</v>
      </c>
      <c r="M14" s="149">
        <v>0</v>
      </c>
      <c r="N14" s="149">
        <v>0</v>
      </c>
      <c r="O14" s="149">
        <v>0</v>
      </c>
      <c r="P14" s="149">
        <v>0</v>
      </c>
      <c r="Q14" s="149">
        <v>0</v>
      </c>
      <c r="R14" s="149">
        <v>0</v>
      </c>
      <c r="S14" s="135">
        <f t="shared" si="2"/>
        <v>510010</v>
      </c>
      <c r="T14" s="149">
        <v>0</v>
      </c>
      <c r="U14" s="149">
        <v>0</v>
      </c>
      <c r="V14" s="149">
        <v>0</v>
      </c>
      <c r="W14" s="149">
        <v>0</v>
      </c>
      <c r="X14" s="149">
        <v>1</v>
      </c>
      <c r="Y14" s="149">
        <v>0</v>
      </c>
      <c r="Z14" s="149">
        <v>0</v>
      </c>
      <c r="AA14" s="149">
        <v>0</v>
      </c>
      <c r="AB14" s="149">
        <v>0</v>
      </c>
      <c r="AC14" s="149">
        <v>0</v>
      </c>
      <c r="AD14" s="149">
        <v>0</v>
      </c>
      <c r="AE14" s="149">
        <v>0</v>
      </c>
      <c r="AF14" s="149">
        <v>0</v>
      </c>
      <c r="AG14" s="149">
        <v>0</v>
      </c>
      <c r="AH14" s="149">
        <v>0</v>
      </c>
      <c r="AI14" s="149">
        <v>0</v>
      </c>
      <c r="AJ14" s="149">
        <v>0</v>
      </c>
      <c r="AK14" s="149">
        <v>0</v>
      </c>
      <c r="AL14" s="149">
        <v>0</v>
      </c>
      <c r="AM14" s="149">
        <v>0</v>
      </c>
      <c r="AN14" s="149">
        <v>0</v>
      </c>
      <c r="AO14" s="149">
        <f t="shared" si="3"/>
        <v>2050</v>
      </c>
      <c r="AP14" s="149">
        <v>0</v>
      </c>
      <c r="AQ14" s="149">
        <v>0</v>
      </c>
      <c r="AR14" s="149">
        <v>0</v>
      </c>
      <c r="AS14" s="149">
        <v>0</v>
      </c>
      <c r="AT14" s="149">
        <v>0</v>
      </c>
      <c r="AU14" s="149">
        <v>0</v>
      </c>
      <c r="AV14" s="149">
        <v>0</v>
      </c>
      <c r="AW14" s="149">
        <v>0</v>
      </c>
      <c r="AX14" s="149">
        <v>0</v>
      </c>
      <c r="AY14" s="149">
        <v>0</v>
      </c>
      <c r="AZ14" s="149">
        <v>0</v>
      </c>
      <c r="BA14" s="149">
        <v>0</v>
      </c>
      <c r="BB14" s="149">
        <v>0</v>
      </c>
      <c r="BC14" s="149">
        <v>0</v>
      </c>
      <c r="BD14" s="149">
        <v>0</v>
      </c>
      <c r="BE14" s="149">
        <v>0</v>
      </c>
      <c r="BF14" s="149">
        <v>0</v>
      </c>
      <c r="BG14" s="149">
        <v>0</v>
      </c>
      <c r="BH14" s="149">
        <v>0</v>
      </c>
      <c r="BI14" s="149">
        <v>0</v>
      </c>
      <c r="BJ14" s="149">
        <v>0</v>
      </c>
      <c r="BK14" s="149">
        <v>0</v>
      </c>
      <c r="BL14" s="149">
        <v>0</v>
      </c>
      <c r="BM14" s="149">
        <v>0</v>
      </c>
      <c r="BN14" s="149">
        <v>0</v>
      </c>
      <c r="BO14" s="149">
        <v>0</v>
      </c>
      <c r="BP14" s="149">
        <v>0</v>
      </c>
      <c r="BQ14" s="149">
        <v>0</v>
      </c>
      <c r="BR14" s="149">
        <v>0</v>
      </c>
      <c r="BS14" s="149">
        <v>0</v>
      </c>
      <c r="BT14" s="149">
        <v>0</v>
      </c>
      <c r="BU14" s="149">
        <v>0</v>
      </c>
      <c r="BV14" s="149">
        <v>0</v>
      </c>
      <c r="BW14" s="149">
        <v>0</v>
      </c>
      <c r="BX14" s="149">
        <v>0</v>
      </c>
      <c r="BY14" s="149">
        <v>0</v>
      </c>
      <c r="BZ14" s="149">
        <v>0</v>
      </c>
    </row>
    <row r="15" spans="1:78">
      <c r="A15" s="149">
        <v>201</v>
      </c>
      <c r="B15" s="154">
        <f>B5+1</f>
        <v>300002</v>
      </c>
      <c r="C15" s="133" t="str">
        <f>VLOOKUP(B15,Multilingual!A:B,2,FALSE)</f>
        <v>가죽 바지</v>
      </c>
      <c r="D15" s="149">
        <v>0</v>
      </c>
      <c r="E15" s="149">
        <v>0</v>
      </c>
      <c r="F15" s="149">
        <v>0</v>
      </c>
      <c r="G15" s="149">
        <v>1</v>
      </c>
      <c r="H15" s="149">
        <v>0</v>
      </c>
      <c r="I15" s="149">
        <v>0</v>
      </c>
      <c r="J15" s="149">
        <v>0</v>
      </c>
      <c r="K15" s="149">
        <v>0</v>
      </c>
      <c r="L15" s="149">
        <v>0</v>
      </c>
      <c r="M15" s="149">
        <v>0</v>
      </c>
      <c r="N15" s="149">
        <v>0</v>
      </c>
      <c r="O15" s="149">
        <v>0</v>
      </c>
      <c r="P15" s="149">
        <v>0</v>
      </c>
      <c r="Q15" s="149">
        <v>0</v>
      </c>
      <c r="R15" s="149">
        <v>0</v>
      </c>
      <c r="S15" s="135">
        <f>S5+100</f>
        <v>510101</v>
      </c>
      <c r="T15" s="149">
        <v>0</v>
      </c>
      <c r="U15" s="149">
        <v>0</v>
      </c>
      <c r="V15" s="149">
        <v>0</v>
      </c>
      <c r="W15" s="149">
        <v>0</v>
      </c>
      <c r="X15" s="149">
        <v>1</v>
      </c>
      <c r="Y15" s="149">
        <v>0</v>
      </c>
      <c r="Z15" s="149">
        <v>0</v>
      </c>
      <c r="AA15" s="149">
        <v>0</v>
      </c>
      <c r="AB15" s="149">
        <v>0</v>
      </c>
      <c r="AC15" s="149">
        <v>0</v>
      </c>
      <c r="AD15" s="149">
        <v>0</v>
      </c>
      <c r="AE15" s="149">
        <v>0</v>
      </c>
      <c r="AF15" s="149">
        <v>0</v>
      </c>
      <c r="AG15" s="149">
        <v>0</v>
      </c>
      <c r="AH15" s="149">
        <v>0</v>
      </c>
      <c r="AI15" s="149">
        <v>0</v>
      </c>
      <c r="AJ15" s="149">
        <v>0</v>
      </c>
      <c r="AK15" s="149">
        <v>0</v>
      </c>
      <c r="AL15" s="149">
        <v>0</v>
      </c>
      <c r="AM15" s="149">
        <v>0</v>
      </c>
      <c r="AN15" s="149">
        <v>0</v>
      </c>
      <c r="AO15" s="149">
        <v>0</v>
      </c>
      <c r="AP15" s="149">
        <v>0</v>
      </c>
      <c r="AQ15" s="149">
        <v>300</v>
      </c>
      <c r="AR15" s="149">
        <v>0</v>
      </c>
      <c r="AS15" s="149">
        <v>0</v>
      </c>
      <c r="AT15" s="149">
        <v>0</v>
      </c>
      <c r="AU15" s="149">
        <v>0</v>
      </c>
      <c r="AV15" s="149">
        <v>0</v>
      </c>
      <c r="AW15" s="149">
        <v>0</v>
      </c>
      <c r="AX15" s="149">
        <v>0</v>
      </c>
      <c r="AY15" s="149">
        <v>0</v>
      </c>
      <c r="AZ15" s="149">
        <v>0</v>
      </c>
      <c r="BA15" s="149">
        <v>0</v>
      </c>
      <c r="BB15" s="149">
        <v>0</v>
      </c>
      <c r="BC15" s="149">
        <v>0</v>
      </c>
      <c r="BD15" s="149">
        <v>0</v>
      </c>
      <c r="BE15" s="149">
        <v>0</v>
      </c>
      <c r="BF15" s="149">
        <v>0</v>
      </c>
      <c r="BG15" s="149">
        <v>0</v>
      </c>
      <c r="BH15" s="149">
        <v>0</v>
      </c>
      <c r="BI15" s="149">
        <v>0</v>
      </c>
      <c r="BJ15" s="149">
        <v>0</v>
      </c>
      <c r="BK15" s="149">
        <v>0</v>
      </c>
      <c r="BL15" s="149">
        <v>0</v>
      </c>
      <c r="BM15" s="149">
        <v>0</v>
      </c>
      <c r="BN15" s="149">
        <v>0</v>
      </c>
      <c r="BO15" s="149">
        <v>0</v>
      </c>
      <c r="BP15" s="149">
        <v>0</v>
      </c>
      <c r="BQ15" s="149">
        <v>0</v>
      </c>
      <c r="BR15" s="149">
        <v>0</v>
      </c>
      <c r="BS15" s="149">
        <v>0</v>
      </c>
      <c r="BT15" s="149">
        <v>0</v>
      </c>
      <c r="BU15" s="149">
        <v>0</v>
      </c>
      <c r="BV15" s="149">
        <v>0</v>
      </c>
      <c r="BW15" s="149">
        <v>0</v>
      </c>
      <c r="BX15" s="149">
        <v>0</v>
      </c>
      <c r="BY15" s="149">
        <v>0</v>
      </c>
      <c r="BZ15" s="149">
        <v>0</v>
      </c>
    </row>
    <row r="16" spans="1:78">
      <c r="A16" s="149">
        <f t="shared" si="0"/>
        <v>202</v>
      </c>
      <c r="B16" s="154">
        <f>B15</f>
        <v>300002</v>
      </c>
      <c r="C16" s="133" t="str">
        <f>VLOOKUP(B16,Multilingual!A:B,2,FALSE)</f>
        <v>가죽 바지</v>
      </c>
      <c r="D16" s="149">
        <v>0</v>
      </c>
      <c r="E16" s="149">
        <v>0</v>
      </c>
      <c r="F16" s="149">
        <v>201</v>
      </c>
      <c r="G16" s="149">
        <v>1</v>
      </c>
      <c r="H16" s="149">
        <v>0</v>
      </c>
      <c r="I16" s="149">
        <v>0</v>
      </c>
      <c r="J16" s="149">
        <v>0</v>
      </c>
      <c r="K16" s="149">
        <v>0</v>
      </c>
      <c r="L16" s="149">
        <v>0</v>
      </c>
      <c r="M16" s="149">
        <v>0</v>
      </c>
      <c r="N16" s="149">
        <v>0</v>
      </c>
      <c r="O16" s="149">
        <v>0</v>
      </c>
      <c r="P16" s="149">
        <v>0</v>
      </c>
      <c r="Q16" s="149">
        <v>0</v>
      </c>
      <c r="R16" s="149">
        <v>0</v>
      </c>
      <c r="S16" s="135">
        <f>S15+1</f>
        <v>510102</v>
      </c>
      <c r="T16" s="149">
        <v>0</v>
      </c>
      <c r="U16" s="149">
        <v>0</v>
      </c>
      <c r="V16" s="149">
        <v>0</v>
      </c>
      <c r="W16" s="149">
        <v>0</v>
      </c>
      <c r="X16" s="149">
        <v>1</v>
      </c>
      <c r="Y16" s="149">
        <v>0</v>
      </c>
      <c r="Z16" s="149">
        <v>0</v>
      </c>
      <c r="AA16" s="149">
        <v>0</v>
      </c>
      <c r="AB16" s="149">
        <v>0</v>
      </c>
      <c r="AC16" s="149">
        <v>0</v>
      </c>
      <c r="AD16" s="149">
        <v>0</v>
      </c>
      <c r="AE16" s="149">
        <v>0</v>
      </c>
      <c r="AF16" s="149">
        <v>0</v>
      </c>
      <c r="AG16" s="149">
        <v>0</v>
      </c>
      <c r="AH16" s="149">
        <v>0</v>
      </c>
      <c r="AI16" s="149">
        <v>0</v>
      </c>
      <c r="AJ16" s="149">
        <v>0</v>
      </c>
      <c r="AK16" s="149">
        <v>0</v>
      </c>
      <c r="AL16" s="149">
        <v>0</v>
      </c>
      <c r="AM16" s="149">
        <v>0</v>
      </c>
      <c r="AN16" s="149">
        <v>0</v>
      </c>
      <c r="AO16" s="149">
        <v>0</v>
      </c>
      <c r="AP16" s="149">
        <v>0</v>
      </c>
      <c r="AQ16" s="149">
        <f>AQ15+100</f>
        <v>400</v>
      </c>
      <c r="AR16" s="149">
        <v>0</v>
      </c>
      <c r="AS16" s="149">
        <v>0</v>
      </c>
      <c r="AT16" s="149">
        <v>0</v>
      </c>
      <c r="AU16" s="149">
        <v>0</v>
      </c>
      <c r="AV16" s="149">
        <v>0</v>
      </c>
      <c r="AW16" s="149">
        <v>0</v>
      </c>
      <c r="AX16" s="149">
        <v>0</v>
      </c>
      <c r="AY16" s="149">
        <v>0</v>
      </c>
      <c r="AZ16" s="149">
        <v>0</v>
      </c>
      <c r="BA16" s="149">
        <v>0</v>
      </c>
      <c r="BB16" s="149">
        <v>0</v>
      </c>
      <c r="BC16" s="149">
        <v>0</v>
      </c>
      <c r="BD16" s="149">
        <v>0</v>
      </c>
      <c r="BE16" s="149">
        <v>0</v>
      </c>
      <c r="BF16" s="149">
        <v>0</v>
      </c>
      <c r="BG16" s="149">
        <v>0</v>
      </c>
      <c r="BH16" s="149">
        <v>0</v>
      </c>
      <c r="BI16" s="149">
        <v>0</v>
      </c>
      <c r="BJ16" s="149">
        <v>0</v>
      </c>
      <c r="BK16" s="149">
        <v>0</v>
      </c>
      <c r="BL16" s="149">
        <v>0</v>
      </c>
      <c r="BM16" s="149">
        <v>0</v>
      </c>
      <c r="BN16" s="149">
        <v>0</v>
      </c>
      <c r="BO16" s="149">
        <v>0</v>
      </c>
      <c r="BP16" s="149">
        <v>0</v>
      </c>
      <c r="BQ16" s="149">
        <v>0</v>
      </c>
      <c r="BR16" s="149">
        <v>0</v>
      </c>
      <c r="BS16" s="149">
        <v>0</v>
      </c>
      <c r="BT16" s="149">
        <v>0</v>
      </c>
      <c r="BU16" s="149">
        <v>0</v>
      </c>
      <c r="BV16" s="149">
        <v>0</v>
      </c>
      <c r="BW16" s="149">
        <v>0</v>
      </c>
      <c r="BX16" s="149">
        <v>0</v>
      </c>
      <c r="BY16" s="149">
        <v>0</v>
      </c>
      <c r="BZ16" s="149">
        <v>0</v>
      </c>
    </row>
    <row r="17" spans="1:78">
      <c r="A17" s="149">
        <f t="shared" si="0"/>
        <v>203</v>
      </c>
      <c r="B17" s="154">
        <f t="shared" ref="B17:B24" si="5">B16</f>
        <v>300002</v>
      </c>
      <c r="C17" s="133" t="str">
        <f>VLOOKUP(B17,Multilingual!A:B,2,FALSE)</f>
        <v>가죽 바지</v>
      </c>
      <c r="D17" s="149">
        <v>0</v>
      </c>
      <c r="E17" s="149">
        <v>0</v>
      </c>
      <c r="F17" s="149">
        <f>F16+1</f>
        <v>202</v>
      </c>
      <c r="G17" s="149">
        <v>1</v>
      </c>
      <c r="H17" s="149">
        <v>0</v>
      </c>
      <c r="I17" s="149">
        <v>0</v>
      </c>
      <c r="J17" s="149">
        <v>0</v>
      </c>
      <c r="K17" s="149">
        <v>0</v>
      </c>
      <c r="L17" s="149">
        <v>0</v>
      </c>
      <c r="M17" s="149">
        <v>0</v>
      </c>
      <c r="N17" s="149">
        <v>0</v>
      </c>
      <c r="O17" s="149">
        <v>0</v>
      </c>
      <c r="P17" s="149">
        <v>0</v>
      </c>
      <c r="Q17" s="149">
        <v>0</v>
      </c>
      <c r="R17" s="149">
        <v>0</v>
      </c>
      <c r="S17" s="135">
        <f t="shared" ref="S17:S34" si="6">S16+1</f>
        <v>510103</v>
      </c>
      <c r="T17" s="149">
        <v>0</v>
      </c>
      <c r="U17" s="149">
        <v>0</v>
      </c>
      <c r="V17" s="149">
        <v>0</v>
      </c>
      <c r="W17" s="149">
        <v>0</v>
      </c>
      <c r="X17" s="149">
        <v>1</v>
      </c>
      <c r="Y17" s="149">
        <v>0</v>
      </c>
      <c r="Z17" s="149">
        <v>0</v>
      </c>
      <c r="AA17" s="149">
        <v>0</v>
      </c>
      <c r="AB17" s="149">
        <v>0</v>
      </c>
      <c r="AC17" s="149">
        <v>0</v>
      </c>
      <c r="AD17" s="149">
        <v>0</v>
      </c>
      <c r="AE17" s="149">
        <v>0</v>
      </c>
      <c r="AF17" s="149">
        <v>0</v>
      </c>
      <c r="AG17" s="149">
        <v>0</v>
      </c>
      <c r="AH17" s="149">
        <v>0</v>
      </c>
      <c r="AI17" s="149">
        <v>0</v>
      </c>
      <c r="AJ17" s="149">
        <v>0</v>
      </c>
      <c r="AK17" s="149">
        <v>0</v>
      </c>
      <c r="AL17" s="149">
        <v>0</v>
      </c>
      <c r="AM17" s="149">
        <v>0</v>
      </c>
      <c r="AN17" s="149">
        <v>0</v>
      </c>
      <c r="AO17" s="149">
        <v>0</v>
      </c>
      <c r="AP17" s="149">
        <v>0</v>
      </c>
      <c r="AQ17" s="149">
        <f t="shared" ref="AQ17:AQ24" si="7">AQ16+100</f>
        <v>500</v>
      </c>
      <c r="AR17" s="149">
        <v>0</v>
      </c>
      <c r="AS17" s="149">
        <v>0</v>
      </c>
      <c r="AT17" s="149">
        <v>0</v>
      </c>
      <c r="AU17" s="149">
        <v>0</v>
      </c>
      <c r="AV17" s="149">
        <v>0</v>
      </c>
      <c r="AW17" s="149">
        <v>0</v>
      </c>
      <c r="AX17" s="149">
        <v>0</v>
      </c>
      <c r="AY17" s="149">
        <v>0</v>
      </c>
      <c r="AZ17" s="149">
        <v>0</v>
      </c>
      <c r="BA17" s="149">
        <v>0</v>
      </c>
      <c r="BB17" s="149">
        <v>0</v>
      </c>
      <c r="BC17" s="149">
        <v>0</v>
      </c>
      <c r="BD17" s="149">
        <v>0</v>
      </c>
      <c r="BE17" s="149">
        <v>0</v>
      </c>
      <c r="BF17" s="149">
        <v>0</v>
      </c>
      <c r="BG17" s="149">
        <v>0</v>
      </c>
      <c r="BH17" s="149">
        <v>0</v>
      </c>
      <c r="BI17" s="149">
        <v>0</v>
      </c>
      <c r="BJ17" s="149">
        <v>0</v>
      </c>
      <c r="BK17" s="149">
        <v>0</v>
      </c>
      <c r="BL17" s="149">
        <v>0</v>
      </c>
      <c r="BM17" s="149">
        <v>0</v>
      </c>
      <c r="BN17" s="149">
        <v>0</v>
      </c>
      <c r="BO17" s="149">
        <v>0</v>
      </c>
      <c r="BP17" s="149">
        <v>0</v>
      </c>
      <c r="BQ17" s="149">
        <v>0</v>
      </c>
      <c r="BR17" s="149">
        <v>0</v>
      </c>
      <c r="BS17" s="149">
        <v>0</v>
      </c>
      <c r="BT17" s="149">
        <v>0</v>
      </c>
      <c r="BU17" s="149">
        <v>0</v>
      </c>
      <c r="BV17" s="149">
        <v>0</v>
      </c>
      <c r="BW17" s="149">
        <v>0</v>
      </c>
      <c r="BX17" s="149">
        <v>0</v>
      </c>
      <c r="BY17" s="149">
        <v>0</v>
      </c>
      <c r="BZ17" s="149">
        <v>0</v>
      </c>
    </row>
    <row r="18" spans="1:78">
      <c r="A18" s="149">
        <f t="shared" si="0"/>
        <v>204</v>
      </c>
      <c r="B18" s="154">
        <f t="shared" si="5"/>
        <v>300002</v>
      </c>
      <c r="C18" s="133" t="str">
        <f>VLOOKUP(B18,Multilingual!A:B,2,FALSE)</f>
        <v>가죽 바지</v>
      </c>
      <c r="D18" s="149">
        <v>0</v>
      </c>
      <c r="E18" s="149">
        <v>0</v>
      </c>
      <c r="F18" s="149">
        <f t="shared" si="4"/>
        <v>203</v>
      </c>
      <c r="G18" s="149">
        <v>1</v>
      </c>
      <c r="H18" s="149">
        <v>0</v>
      </c>
      <c r="I18" s="149">
        <v>0</v>
      </c>
      <c r="J18" s="149">
        <v>0</v>
      </c>
      <c r="K18" s="149">
        <v>0</v>
      </c>
      <c r="L18" s="149">
        <v>0</v>
      </c>
      <c r="M18" s="149">
        <v>0</v>
      </c>
      <c r="N18" s="149">
        <v>0</v>
      </c>
      <c r="O18" s="149">
        <v>0</v>
      </c>
      <c r="P18" s="149">
        <v>0</v>
      </c>
      <c r="Q18" s="149">
        <v>0</v>
      </c>
      <c r="R18" s="149">
        <v>0</v>
      </c>
      <c r="S18" s="135">
        <f t="shared" si="6"/>
        <v>510104</v>
      </c>
      <c r="T18" s="149">
        <v>0</v>
      </c>
      <c r="U18" s="149">
        <v>0</v>
      </c>
      <c r="V18" s="149">
        <v>0</v>
      </c>
      <c r="W18" s="149">
        <v>0</v>
      </c>
      <c r="X18" s="149">
        <v>1</v>
      </c>
      <c r="Y18" s="149">
        <v>0</v>
      </c>
      <c r="Z18" s="149">
        <v>0</v>
      </c>
      <c r="AA18" s="149">
        <v>0</v>
      </c>
      <c r="AB18" s="149">
        <v>0</v>
      </c>
      <c r="AC18" s="149">
        <v>0</v>
      </c>
      <c r="AD18" s="149">
        <v>0</v>
      </c>
      <c r="AE18" s="149">
        <v>0</v>
      </c>
      <c r="AF18" s="149">
        <v>0</v>
      </c>
      <c r="AG18" s="149">
        <v>0</v>
      </c>
      <c r="AH18" s="149">
        <v>0</v>
      </c>
      <c r="AI18" s="149">
        <v>0</v>
      </c>
      <c r="AJ18" s="149">
        <v>0</v>
      </c>
      <c r="AK18" s="149">
        <v>0</v>
      </c>
      <c r="AL18" s="149">
        <v>0</v>
      </c>
      <c r="AM18" s="149">
        <v>0</v>
      </c>
      <c r="AN18" s="149">
        <v>0</v>
      </c>
      <c r="AO18" s="149">
        <v>0</v>
      </c>
      <c r="AP18" s="149">
        <v>0</v>
      </c>
      <c r="AQ18" s="149">
        <f t="shared" si="7"/>
        <v>600</v>
      </c>
      <c r="AR18" s="149">
        <v>0</v>
      </c>
      <c r="AS18" s="149">
        <v>0</v>
      </c>
      <c r="AT18" s="149">
        <v>0</v>
      </c>
      <c r="AU18" s="149">
        <v>0</v>
      </c>
      <c r="AV18" s="149">
        <v>0</v>
      </c>
      <c r="AW18" s="149">
        <v>0</v>
      </c>
      <c r="AX18" s="149">
        <v>0</v>
      </c>
      <c r="AY18" s="149">
        <v>0</v>
      </c>
      <c r="AZ18" s="149">
        <v>0</v>
      </c>
      <c r="BA18" s="149">
        <v>0</v>
      </c>
      <c r="BB18" s="149">
        <v>0</v>
      </c>
      <c r="BC18" s="149">
        <v>0</v>
      </c>
      <c r="BD18" s="149">
        <v>0</v>
      </c>
      <c r="BE18" s="149">
        <v>0</v>
      </c>
      <c r="BF18" s="149">
        <v>0</v>
      </c>
      <c r="BG18" s="149">
        <v>0</v>
      </c>
      <c r="BH18" s="149">
        <v>0</v>
      </c>
      <c r="BI18" s="149">
        <v>0</v>
      </c>
      <c r="BJ18" s="149">
        <v>0</v>
      </c>
      <c r="BK18" s="149">
        <v>0</v>
      </c>
      <c r="BL18" s="149">
        <v>0</v>
      </c>
      <c r="BM18" s="149">
        <v>0</v>
      </c>
      <c r="BN18" s="149">
        <v>0</v>
      </c>
      <c r="BO18" s="149">
        <v>0</v>
      </c>
      <c r="BP18" s="149">
        <v>0</v>
      </c>
      <c r="BQ18" s="149">
        <v>0</v>
      </c>
      <c r="BR18" s="149">
        <v>0</v>
      </c>
      <c r="BS18" s="149">
        <v>0</v>
      </c>
      <c r="BT18" s="149">
        <v>0</v>
      </c>
      <c r="BU18" s="149">
        <v>0</v>
      </c>
      <c r="BV18" s="149">
        <v>0</v>
      </c>
      <c r="BW18" s="149">
        <v>0</v>
      </c>
      <c r="BX18" s="149">
        <v>0</v>
      </c>
      <c r="BY18" s="149">
        <v>0</v>
      </c>
      <c r="BZ18" s="149">
        <v>0</v>
      </c>
    </row>
    <row r="19" spans="1:78">
      <c r="A19" s="149">
        <f t="shared" si="0"/>
        <v>205</v>
      </c>
      <c r="B19" s="154">
        <f t="shared" si="5"/>
        <v>300002</v>
      </c>
      <c r="C19" s="133" t="str">
        <f>VLOOKUP(B19,Multilingual!A:B,2,FALSE)</f>
        <v>가죽 바지</v>
      </c>
      <c r="D19" s="149">
        <v>0</v>
      </c>
      <c r="E19" s="149">
        <v>0</v>
      </c>
      <c r="F19" s="149">
        <f t="shared" si="4"/>
        <v>204</v>
      </c>
      <c r="G19" s="149">
        <v>1</v>
      </c>
      <c r="H19" s="149">
        <v>0</v>
      </c>
      <c r="I19" s="149">
        <v>0</v>
      </c>
      <c r="J19" s="149">
        <v>0</v>
      </c>
      <c r="K19" s="149">
        <v>0</v>
      </c>
      <c r="L19" s="149">
        <v>0</v>
      </c>
      <c r="M19" s="149">
        <v>0</v>
      </c>
      <c r="N19" s="149">
        <v>0</v>
      </c>
      <c r="O19" s="149">
        <v>0</v>
      </c>
      <c r="P19" s="149">
        <v>0</v>
      </c>
      <c r="Q19" s="149">
        <v>0</v>
      </c>
      <c r="R19" s="149">
        <v>0</v>
      </c>
      <c r="S19" s="135">
        <f t="shared" si="6"/>
        <v>510105</v>
      </c>
      <c r="T19" s="149">
        <v>0</v>
      </c>
      <c r="U19" s="149">
        <v>0</v>
      </c>
      <c r="V19" s="149">
        <v>0</v>
      </c>
      <c r="W19" s="149">
        <v>0</v>
      </c>
      <c r="X19" s="149">
        <v>1</v>
      </c>
      <c r="Y19" s="149">
        <v>0</v>
      </c>
      <c r="Z19" s="149">
        <v>0</v>
      </c>
      <c r="AA19" s="149">
        <v>0</v>
      </c>
      <c r="AB19" s="149">
        <v>0</v>
      </c>
      <c r="AC19" s="149">
        <v>0</v>
      </c>
      <c r="AD19" s="149">
        <v>0</v>
      </c>
      <c r="AE19" s="149">
        <v>0</v>
      </c>
      <c r="AF19" s="149">
        <v>0</v>
      </c>
      <c r="AG19" s="149">
        <v>0</v>
      </c>
      <c r="AH19" s="149">
        <v>0</v>
      </c>
      <c r="AI19" s="149">
        <v>0</v>
      </c>
      <c r="AJ19" s="149">
        <v>0</v>
      </c>
      <c r="AK19" s="149">
        <v>0</v>
      </c>
      <c r="AL19" s="149">
        <v>0</v>
      </c>
      <c r="AM19" s="149">
        <v>0</v>
      </c>
      <c r="AN19" s="149">
        <v>0</v>
      </c>
      <c r="AO19" s="149">
        <v>0</v>
      </c>
      <c r="AP19" s="149">
        <v>0</v>
      </c>
      <c r="AQ19" s="149">
        <f t="shared" si="7"/>
        <v>700</v>
      </c>
      <c r="AR19" s="149">
        <v>0</v>
      </c>
      <c r="AS19" s="149">
        <v>0</v>
      </c>
      <c r="AT19" s="149">
        <v>0</v>
      </c>
      <c r="AU19" s="149">
        <v>0</v>
      </c>
      <c r="AV19" s="149">
        <v>0</v>
      </c>
      <c r="AW19" s="149">
        <v>0</v>
      </c>
      <c r="AX19" s="149">
        <v>0</v>
      </c>
      <c r="AY19" s="149">
        <v>0</v>
      </c>
      <c r="AZ19" s="149">
        <v>0</v>
      </c>
      <c r="BA19" s="149">
        <v>0</v>
      </c>
      <c r="BB19" s="149">
        <v>0</v>
      </c>
      <c r="BC19" s="149">
        <v>0</v>
      </c>
      <c r="BD19" s="149">
        <v>0</v>
      </c>
      <c r="BE19" s="149">
        <v>0</v>
      </c>
      <c r="BF19" s="149">
        <v>0</v>
      </c>
      <c r="BG19" s="149">
        <v>0</v>
      </c>
      <c r="BH19" s="149">
        <v>0</v>
      </c>
      <c r="BI19" s="149">
        <v>0</v>
      </c>
      <c r="BJ19" s="149">
        <v>0</v>
      </c>
      <c r="BK19" s="149">
        <v>0</v>
      </c>
      <c r="BL19" s="149">
        <v>0</v>
      </c>
      <c r="BM19" s="149">
        <v>0</v>
      </c>
      <c r="BN19" s="149">
        <v>0</v>
      </c>
      <c r="BO19" s="149">
        <v>0</v>
      </c>
      <c r="BP19" s="149">
        <v>0</v>
      </c>
      <c r="BQ19" s="149">
        <v>0</v>
      </c>
      <c r="BR19" s="149">
        <v>0</v>
      </c>
      <c r="BS19" s="149">
        <v>0</v>
      </c>
      <c r="BT19" s="149">
        <v>0</v>
      </c>
      <c r="BU19" s="149">
        <v>0</v>
      </c>
      <c r="BV19" s="149">
        <v>0</v>
      </c>
      <c r="BW19" s="149">
        <v>0</v>
      </c>
      <c r="BX19" s="149">
        <v>0</v>
      </c>
      <c r="BY19" s="149">
        <v>0</v>
      </c>
      <c r="BZ19" s="149">
        <v>0</v>
      </c>
    </row>
    <row r="20" spans="1:78">
      <c r="A20" s="149">
        <f t="shared" si="0"/>
        <v>206</v>
      </c>
      <c r="B20" s="154">
        <f t="shared" si="5"/>
        <v>300002</v>
      </c>
      <c r="C20" s="133" t="str">
        <f>VLOOKUP(B20,Multilingual!A:B,2,FALSE)</f>
        <v>가죽 바지</v>
      </c>
      <c r="D20" s="149">
        <v>0</v>
      </c>
      <c r="E20" s="149">
        <v>0</v>
      </c>
      <c r="F20" s="149">
        <f t="shared" si="4"/>
        <v>205</v>
      </c>
      <c r="G20" s="149">
        <v>1</v>
      </c>
      <c r="H20" s="149">
        <v>0</v>
      </c>
      <c r="I20" s="149">
        <v>0</v>
      </c>
      <c r="J20" s="149">
        <v>0</v>
      </c>
      <c r="K20" s="149">
        <v>0</v>
      </c>
      <c r="L20" s="149">
        <v>0</v>
      </c>
      <c r="M20" s="149">
        <v>0</v>
      </c>
      <c r="N20" s="149">
        <v>0</v>
      </c>
      <c r="O20" s="149">
        <v>0</v>
      </c>
      <c r="P20" s="149">
        <v>0</v>
      </c>
      <c r="Q20" s="149">
        <v>0</v>
      </c>
      <c r="R20" s="149">
        <v>0</v>
      </c>
      <c r="S20" s="135">
        <f t="shared" si="6"/>
        <v>510106</v>
      </c>
      <c r="T20" s="149">
        <v>0</v>
      </c>
      <c r="U20" s="149">
        <v>0</v>
      </c>
      <c r="V20" s="149">
        <v>0</v>
      </c>
      <c r="W20" s="149">
        <v>0</v>
      </c>
      <c r="X20" s="149">
        <v>1</v>
      </c>
      <c r="Y20" s="149">
        <v>0</v>
      </c>
      <c r="Z20" s="149">
        <v>0</v>
      </c>
      <c r="AA20" s="149">
        <v>0</v>
      </c>
      <c r="AB20" s="149">
        <v>0</v>
      </c>
      <c r="AC20" s="149">
        <v>0</v>
      </c>
      <c r="AD20" s="149">
        <v>0</v>
      </c>
      <c r="AE20" s="149">
        <v>0</v>
      </c>
      <c r="AF20" s="149">
        <v>0</v>
      </c>
      <c r="AG20" s="149">
        <v>0</v>
      </c>
      <c r="AH20" s="149">
        <v>0</v>
      </c>
      <c r="AI20" s="149">
        <v>0</v>
      </c>
      <c r="AJ20" s="149">
        <v>0</v>
      </c>
      <c r="AK20" s="149">
        <v>0</v>
      </c>
      <c r="AL20" s="149">
        <v>0</v>
      </c>
      <c r="AM20" s="149">
        <v>0</v>
      </c>
      <c r="AN20" s="149">
        <v>0</v>
      </c>
      <c r="AO20" s="149">
        <v>0</v>
      </c>
      <c r="AP20" s="149">
        <v>0</v>
      </c>
      <c r="AQ20" s="149">
        <f t="shared" si="7"/>
        <v>800</v>
      </c>
      <c r="AR20" s="149">
        <v>0</v>
      </c>
      <c r="AS20" s="149">
        <v>0</v>
      </c>
      <c r="AT20" s="149">
        <v>0</v>
      </c>
      <c r="AU20" s="149">
        <v>0</v>
      </c>
      <c r="AV20" s="149">
        <v>0</v>
      </c>
      <c r="AW20" s="149">
        <v>0</v>
      </c>
      <c r="AX20" s="149">
        <v>0</v>
      </c>
      <c r="AY20" s="149">
        <v>0</v>
      </c>
      <c r="AZ20" s="149">
        <v>0</v>
      </c>
      <c r="BA20" s="149">
        <v>0</v>
      </c>
      <c r="BB20" s="149">
        <v>0</v>
      </c>
      <c r="BC20" s="149">
        <v>0</v>
      </c>
      <c r="BD20" s="149">
        <v>0</v>
      </c>
      <c r="BE20" s="149">
        <v>0</v>
      </c>
      <c r="BF20" s="149">
        <v>0</v>
      </c>
      <c r="BG20" s="149">
        <v>0</v>
      </c>
      <c r="BH20" s="149">
        <v>0</v>
      </c>
      <c r="BI20" s="149">
        <v>0</v>
      </c>
      <c r="BJ20" s="149">
        <v>0</v>
      </c>
      <c r="BK20" s="149">
        <v>0</v>
      </c>
      <c r="BL20" s="149">
        <v>0</v>
      </c>
      <c r="BM20" s="149">
        <v>0</v>
      </c>
      <c r="BN20" s="149">
        <v>0</v>
      </c>
      <c r="BO20" s="149">
        <v>0</v>
      </c>
      <c r="BP20" s="149">
        <v>0</v>
      </c>
      <c r="BQ20" s="149">
        <v>0</v>
      </c>
      <c r="BR20" s="149">
        <v>0</v>
      </c>
      <c r="BS20" s="149">
        <v>0</v>
      </c>
      <c r="BT20" s="149">
        <v>0</v>
      </c>
      <c r="BU20" s="149">
        <v>0</v>
      </c>
      <c r="BV20" s="149">
        <v>0</v>
      </c>
      <c r="BW20" s="149">
        <v>0</v>
      </c>
      <c r="BX20" s="149">
        <v>0</v>
      </c>
      <c r="BY20" s="149">
        <v>0</v>
      </c>
      <c r="BZ20" s="149">
        <v>0</v>
      </c>
    </row>
    <row r="21" spans="1:78">
      <c r="A21" s="149">
        <f t="shared" si="0"/>
        <v>207</v>
      </c>
      <c r="B21" s="154">
        <f t="shared" si="5"/>
        <v>300002</v>
      </c>
      <c r="C21" s="133" t="str">
        <f>VLOOKUP(B21,Multilingual!A:B,2,FALSE)</f>
        <v>가죽 바지</v>
      </c>
      <c r="D21" s="149">
        <v>0</v>
      </c>
      <c r="E21" s="149">
        <v>0</v>
      </c>
      <c r="F21" s="149">
        <f t="shared" si="4"/>
        <v>206</v>
      </c>
      <c r="G21" s="149">
        <v>1</v>
      </c>
      <c r="H21" s="149">
        <v>0</v>
      </c>
      <c r="I21" s="149">
        <v>0</v>
      </c>
      <c r="J21" s="149">
        <v>0</v>
      </c>
      <c r="K21" s="149">
        <v>0</v>
      </c>
      <c r="L21" s="149">
        <v>0</v>
      </c>
      <c r="M21" s="149">
        <v>0</v>
      </c>
      <c r="N21" s="149">
        <v>0</v>
      </c>
      <c r="O21" s="149">
        <v>0</v>
      </c>
      <c r="P21" s="149">
        <v>0</v>
      </c>
      <c r="Q21" s="149">
        <v>0</v>
      </c>
      <c r="R21" s="149">
        <v>0</v>
      </c>
      <c r="S21" s="135">
        <f t="shared" si="6"/>
        <v>510107</v>
      </c>
      <c r="T21" s="149">
        <v>0</v>
      </c>
      <c r="U21" s="149">
        <v>0</v>
      </c>
      <c r="V21" s="149">
        <v>0</v>
      </c>
      <c r="W21" s="149">
        <v>0</v>
      </c>
      <c r="X21" s="149">
        <v>1</v>
      </c>
      <c r="Y21" s="149">
        <v>0</v>
      </c>
      <c r="Z21" s="149">
        <v>0</v>
      </c>
      <c r="AA21" s="149">
        <v>0</v>
      </c>
      <c r="AB21" s="149">
        <v>0</v>
      </c>
      <c r="AC21" s="149">
        <v>0</v>
      </c>
      <c r="AD21" s="149">
        <v>0</v>
      </c>
      <c r="AE21" s="149">
        <v>0</v>
      </c>
      <c r="AF21" s="149">
        <v>0</v>
      </c>
      <c r="AG21" s="149">
        <v>0</v>
      </c>
      <c r="AH21" s="149">
        <v>0</v>
      </c>
      <c r="AI21" s="149">
        <v>0</v>
      </c>
      <c r="AJ21" s="149">
        <v>0</v>
      </c>
      <c r="AK21" s="149">
        <v>0</v>
      </c>
      <c r="AL21" s="149">
        <v>0</v>
      </c>
      <c r="AM21" s="149">
        <v>0</v>
      </c>
      <c r="AN21" s="149">
        <v>0</v>
      </c>
      <c r="AO21" s="149">
        <v>0</v>
      </c>
      <c r="AP21" s="149">
        <v>0</v>
      </c>
      <c r="AQ21" s="149">
        <f t="shared" si="7"/>
        <v>900</v>
      </c>
      <c r="AR21" s="149">
        <v>0</v>
      </c>
      <c r="AS21" s="149">
        <v>0</v>
      </c>
      <c r="AT21" s="149">
        <v>0</v>
      </c>
      <c r="AU21" s="149">
        <v>0</v>
      </c>
      <c r="AV21" s="149">
        <v>0</v>
      </c>
      <c r="AW21" s="149">
        <v>0</v>
      </c>
      <c r="AX21" s="149">
        <v>0</v>
      </c>
      <c r="AY21" s="149">
        <v>0</v>
      </c>
      <c r="AZ21" s="149">
        <v>0</v>
      </c>
      <c r="BA21" s="149">
        <v>0</v>
      </c>
      <c r="BB21" s="149">
        <v>0</v>
      </c>
      <c r="BC21" s="149">
        <v>0</v>
      </c>
      <c r="BD21" s="149">
        <v>0</v>
      </c>
      <c r="BE21" s="149">
        <v>0</v>
      </c>
      <c r="BF21" s="149">
        <v>0</v>
      </c>
      <c r="BG21" s="149">
        <v>0</v>
      </c>
      <c r="BH21" s="149">
        <v>0</v>
      </c>
      <c r="BI21" s="149">
        <v>0</v>
      </c>
      <c r="BJ21" s="149">
        <v>0</v>
      </c>
      <c r="BK21" s="149">
        <v>0</v>
      </c>
      <c r="BL21" s="149">
        <v>0</v>
      </c>
      <c r="BM21" s="149">
        <v>0</v>
      </c>
      <c r="BN21" s="149">
        <v>0</v>
      </c>
      <c r="BO21" s="149">
        <v>0</v>
      </c>
      <c r="BP21" s="149">
        <v>0</v>
      </c>
      <c r="BQ21" s="149">
        <v>0</v>
      </c>
      <c r="BR21" s="149">
        <v>0</v>
      </c>
      <c r="BS21" s="149">
        <v>0</v>
      </c>
      <c r="BT21" s="149">
        <v>0</v>
      </c>
      <c r="BU21" s="149">
        <v>0</v>
      </c>
      <c r="BV21" s="149">
        <v>0</v>
      </c>
      <c r="BW21" s="149">
        <v>0</v>
      </c>
      <c r="BX21" s="149">
        <v>0</v>
      </c>
      <c r="BY21" s="149">
        <v>0</v>
      </c>
      <c r="BZ21" s="149">
        <v>0</v>
      </c>
    </row>
    <row r="22" spans="1:78">
      <c r="A22" s="149">
        <f t="shared" si="0"/>
        <v>208</v>
      </c>
      <c r="B22" s="154">
        <f t="shared" si="5"/>
        <v>300002</v>
      </c>
      <c r="C22" s="133" t="str">
        <f>VLOOKUP(B22,Multilingual!A:B,2,FALSE)</f>
        <v>가죽 바지</v>
      </c>
      <c r="D22" s="149">
        <v>0</v>
      </c>
      <c r="E22" s="149">
        <v>0</v>
      </c>
      <c r="F22" s="149">
        <f t="shared" si="4"/>
        <v>207</v>
      </c>
      <c r="G22" s="149">
        <v>1</v>
      </c>
      <c r="H22" s="149">
        <v>0</v>
      </c>
      <c r="I22" s="149">
        <v>0</v>
      </c>
      <c r="J22" s="149">
        <v>0</v>
      </c>
      <c r="K22" s="149">
        <v>0</v>
      </c>
      <c r="L22" s="149">
        <v>0</v>
      </c>
      <c r="M22" s="149">
        <v>0</v>
      </c>
      <c r="N22" s="149">
        <v>0</v>
      </c>
      <c r="O22" s="149">
        <v>0</v>
      </c>
      <c r="P22" s="149">
        <v>0</v>
      </c>
      <c r="Q22" s="149">
        <v>0</v>
      </c>
      <c r="R22" s="149">
        <v>0</v>
      </c>
      <c r="S22" s="135">
        <f t="shared" si="6"/>
        <v>510108</v>
      </c>
      <c r="T22" s="149">
        <v>0</v>
      </c>
      <c r="U22" s="149">
        <v>0</v>
      </c>
      <c r="V22" s="149">
        <v>0</v>
      </c>
      <c r="W22" s="149">
        <v>0</v>
      </c>
      <c r="X22" s="149">
        <v>1</v>
      </c>
      <c r="Y22" s="149">
        <v>0</v>
      </c>
      <c r="Z22" s="149">
        <v>0</v>
      </c>
      <c r="AA22" s="149">
        <v>0</v>
      </c>
      <c r="AB22" s="149">
        <v>0</v>
      </c>
      <c r="AC22" s="149">
        <v>0</v>
      </c>
      <c r="AD22" s="149">
        <v>0</v>
      </c>
      <c r="AE22" s="149">
        <v>0</v>
      </c>
      <c r="AF22" s="149">
        <v>0</v>
      </c>
      <c r="AG22" s="149">
        <v>0</v>
      </c>
      <c r="AH22" s="149">
        <v>0</v>
      </c>
      <c r="AI22" s="149">
        <v>0</v>
      </c>
      <c r="AJ22" s="149">
        <v>0</v>
      </c>
      <c r="AK22" s="149">
        <v>0</v>
      </c>
      <c r="AL22" s="149">
        <v>0</v>
      </c>
      <c r="AM22" s="149">
        <v>0</v>
      </c>
      <c r="AN22" s="149">
        <v>0</v>
      </c>
      <c r="AO22" s="149">
        <v>0</v>
      </c>
      <c r="AP22" s="149">
        <v>0</v>
      </c>
      <c r="AQ22" s="149">
        <f t="shared" si="7"/>
        <v>1000</v>
      </c>
      <c r="AR22" s="149">
        <v>0</v>
      </c>
      <c r="AS22" s="149">
        <v>0</v>
      </c>
      <c r="AT22" s="149">
        <v>0</v>
      </c>
      <c r="AU22" s="149">
        <v>0</v>
      </c>
      <c r="AV22" s="149">
        <v>0</v>
      </c>
      <c r="AW22" s="149">
        <v>0</v>
      </c>
      <c r="AX22" s="149">
        <v>0</v>
      </c>
      <c r="AY22" s="149">
        <v>0</v>
      </c>
      <c r="AZ22" s="149">
        <v>0</v>
      </c>
      <c r="BA22" s="149">
        <v>0</v>
      </c>
      <c r="BB22" s="149">
        <v>0</v>
      </c>
      <c r="BC22" s="149">
        <v>0</v>
      </c>
      <c r="BD22" s="149">
        <v>0</v>
      </c>
      <c r="BE22" s="149">
        <v>0</v>
      </c>
      <c r="BF22" s="149">
        <v>0</v>
      </c>
      <c r="BG22" s="149">
        <v>0</v>
      </c>
      <c r="BH22" s="149">
        <v>0</v>
      </c>
      <c r="BI22" s="149">
        <v>0</v>
      </c>
      <c r="BJ22" s="149">
        <v>0</v>
      </c>
      <c r="BK22" s="149">
        <v>0</v>
      </c>
      <c r="BL22" s="149">
        <v>0</v>
      </c>
      <c r="BM22" s="149">
        <v>0</v>
      </c>
      <c r="BN22" s="149">
        <v>0</v>
      </c>
      <c r="BO22" s="149">
        <v>0</v>
      </c>
      <c r="BP22" s="149">
        <v>0</v>
      </c>
      <c r="BQ22" s="149">
        <v>0</v>
      </c>
      <c r="BR22" s="149">
        <v>0</v>
      </c>
      <c r="BS22" s="149">
        <v>0</v>
      </c>
      <c r="BT22" s="149">
        <v>0</v>
      </c>
      <c r="BU22" s="149">
        <v>0</v>
      </c>
      <c r="BV22" s="149">
        <v>0</v>
      </c>
      <c r="BW22" s="149">
        <v>0</v>
      </c>
      <c r="BX22" s="149">
        <v>0</v>
      </c>
      <c r="BY22" s="149">
        <v>0</v>
      </c>
      <c r="BZ22" s="149">
        <v>0</v>
      </c>
    </row>
    <row r="23" spans="1:78">
      <c r="A23" s="149">
        <f t="shared" si="0"/>
        <v>209</v>
      </c>
      <c r="B23" s="154">
        <f t="shared" si="5"/>
        <v>300002</v>
      </c>
      <c r="C23" s="133" t="str">
        <f>VLOOKUP(B23,Multilingual!A:B,2,FALSE)</f>
        <v>가죽 바지</v>
      </c>
      <c r="D23" s="149">
        <v>0</v>
      </c>
      <c r="E23" s="149">
        <v>0</v>
      </c>
      <c r="F23" s="149">
        <f t="shared" si="4"/>
        <v>208</v>
      </c>
      <c r="G23" s="149">
        <v>1</v>
      </c>
      <c r="H23" s="149">
        <v>0</v>
      </c>
      <c r="I23" s="149">
        <v>0</v>
      </c>
      <c r="J23" s="149">
        <v>0</v>
      </c>
      <c r="K23" s="149">
        <v>0</v>
      </c>
      <c r="L23" s="149">
        <v>0</v>
      </c>
      <c r="M23" s="149">
        <v>0</v>
      </c>
      <c r="N23" s="149">
        <v>0</v>
      </c>
      <c r="O23" s="149">
        <v>0</v>
      </c>
      <c r="P23" s="149">
        <v>0</v>
      </c>
      <c r="Q23" s="149">
        <v>0</v>
      </c>
      <c r="R23" s="149">
        <v>0</v>
      </c>
      <c r="S23" s="135">
        <f t="shared" si="6"/>
        <v>510109</v>
      </c>
      <c r="T23" s="149">
        <v>0</v>
      </c>
      <c r="U23" s="149">
        <v>0</v>
      </c>
      <c r="V23" s="149">
        <v>0</v>
      </c>
      <c r="W23" s="149">
        <v>0</v>
      </c>
      <c r="X23" s="149">
        <v>1</v>
      </c>
      <c r="Y23" s="149">
        <v>0</v>
      </c>
      <c r="Z23" s="149">
        <v>0</v>
      </c>
      <c r="AA23" s="149">
        <v>0</v>
      </c>
      <c r="AB23" s="149">
        <v>0</v>
      </c>
      <c r="AC23" s="149">
        <v>0</v>
      </c>
      <c r="AD23" s="149">
        <v>0</v>
      </c>
      <c r="AE23" s="149">
        <v>0</v>
      </c>
      <c r="AF23" s="149">
        <v>0</v>
      </c>
      <c r="AG23" s="149">
        <v>0</v>
      </c>
      <c r="AH23" s="149">
        <v>0</v>
      </c>
      <c r="AI23" s="149">
        <v>0</v>
      </c>
      <c r="AJ23" s="149">
        <v>0</v>
      </c>
      <c r="AK23" s="149">
        <v>0</v>
      </c>
      <c r="AL23" s="149">
        <v>0</v>
      </c>
      <c r="AM23" s="149">
        <v>0</v>
      </c>
      <c r="AN23" s="149">
        <v>0</v>
      </c>
      <c r="AO23" s="149">
        <v>0</v>
      </c>
      <c r="AP23" s="149">
        <v>0</v>
      </c>
      <c r="AQ23" s="149">
        <f t="shared" si="7"/>
        <v>1100</v>
      </c>
      <c r="AR23" s="149">
        <v>0</v>
      </c>
      <c r="AS23" s="149">
        <v>0</v>
      </c>
      <c r="AT23" s="149">
        <v>0</v>
      </c>
      <c r="AU23" s="149">
        <v>0</v>
      </c>
      <c r="AV23" s="149">
        <v>0</v>
      </c>
      <c r="AW23" s="149">
        <v>0</v>
      </c>
      <c r="AX23" s="149">
        <v>0</v>
      </c>
      <c r="AY23" s="149">
        <v>0</v>
      </c>
      <c r="AZ23" s="149">
        <v>0</v>
      </c>
      <c r="BA23" s="149">
        <v>0</v>
      </c>
      <c r="BB23" s="149">
        <v>0</v>
      </c>
      <c r="BC23" s="149">
        <v>0</v>
      </c>
      <c r="BD23" s="149">
        <v>0</v>
      </c>
      <c r="BE23" s="149">
        <v>0</v>
      </c>
      <c r="BF23" s="149">
        <v>0</v>
      </c>
      <c r="BG23" s="149">
        <v>0</v>
      </c>
      <c r="BH23" s="149">
        <v>0</v>
      </c>
      <c r="BI23" s="149">
        <v>0</v>
      </c>
      <c r="BJ23" s="149">
        <v>0</v>
      </c>
      <c r="BK23" s="149">
        <v>0</v>
      </c>
      <c r="BL23" s="149">
        <v>0</v>
      </c>
      <c r="BM23" s="149">
        <v>0</v>
      </c>
      <c r="BN23" s="149">
        <v>0</v>
      </c>
      <c r="BO23" s="149">
        <v>0</v>
      </c>
      <c r="BP23" s="149">
        <v>0</v>
      </c>
      <c r="BQ23" s="149">
        <v>0</v>
      </c>
      <c r="BR23" s="149">
        <v>0</v>
      </c>
      <c r="BS23" s="149">
        <v>0</v>
      </c>
      <c r="BT23" s="149">
        <v>0</v>
      </c>
      <c r="BU23" s="149">
        <v>0</v>
      </c>
      <c r="BV23" s="149">
        <v>0</v>
      </c>
      <c r="BW23" s="149">
        <v>0</v>
      </c>
      <c r="BX23" s="149">
        <v>0</v>
      </c>
      <c r="BY23" s="149">
        <v>0</v>
      </c>
      <c r="BZ23" s="149">
        <v>0</v>
      </c>
    </row>
    <row r="24" spans="1:78">
      <c r="A24" s="149">
        <f t="shared" si="0"/>
        <v>210</v>
      </c>
      <c r="B24" s="154">
        <f t="shared" si="5"/>
        <v>300002</v>
      </c>
      <c r="C24" s="133" t="str">
        <f>VLOOKUP(B24,Multilingual!A:B,2,FALSE)</f>
        <v>가죽 바지</v>
      </c>
      <c r="D24" s="149">
        <v>0</v>
      </c>
      <c r="E24" s="149">
        <v>0</v>
      </c>
      <c r="F24" s="149">
        <f t="shared" si="4"/>
        <v>209</v>
      </c>
      <c r="G24" s="149">
        <v>1</v>
      </c>
      <c r="H24" s="149">
        <v>0</v>
      </c>
      <c r="I24" s="149">
        <v>0</v>
      </c>
      <c r="J24" s="149">
        <v>0</v>
      </c>
      <c r="K24" s="149">
        <v>0</v>
      </c>
      <c r="L24" s="149">
        <v>0</v>
      </c>
      <c r="M24" s="149">
        <v>0</v>
      </c>
      <c r="N24" s="149">
        <v>0</v>
      </c>
      <c r="O24" s="149">
        <v>0</v>
      </c>
      <c r="P24" s="149">
        <v>0</v>
      </c>
      <c r="Q24" s="149">
        <v>0</v>
      </c>
      <c r="R24" s="149">
        <v>0</v>
      </c>
      <c r="S24" s="135">
        <f t="shared" si="6"/>
        <v>510110</v>
      </c>
      <c r="T24" s="149">
        <v>0</v>
      </c>
      <c r="U24" s="149">
        <v>0</v>
      </c>
      <c r="V24" s="149">
        <v>0</v>
      </c>
      <c r="W24" s="149">
        <v>0</v>
      </c>
      <c r="X24" s="149">
        <v>1</v>
      </c>
      <c r="Y24" s="149">
        <v>0</v>
      </c>
      <c r="Z24" s="149">
        <v>0</v>
      </c>
      <c r="AA24" s="149">
        <v>0</v>
      </c>
      <c r="AB24" s="149">
        <v>0</v>
      </c>
      <c r="AC24" s="149">
        <v>0</v>
      </c>
      <c r="AD24" s="149">
        <v>0</v>
      </c>
      <c r="AE24" s="149">
        <v>0</v>
      </c>
      <c r="AF24" s="149">
        <v>0</v>
      </c>
      <c r="AG24" s="149">
        <v>0</v>
      </c>
      <c r="AH24" s="149">
        <v>0</v>
      </c>
      <c r="AI24" s="149">
        <v>0</v>
      </c>
      <c r="AJ24" s="149">
        <v>0</v>
      </c>
      <c r="AK24" s="149">
        <v>0</v>
      </c>
      <c r="AL24" s="149">
        <v>0</v>
      </c>
      <c r="AM24" s="149">
        <v>0</v>
      </c>
      <c r="AN24" s="149">
        <v>0</v>
      </c>
      <c r="AO24" s="149">
        <v>0</v>
      </c>
      <c r="AP24" s="149">
        <v>0</v>
      </c>
      <c r="AQ24" s="149">
        <f t="shared" si="7"/>
        <v>1200</v>
      </c>
      <c r="AR24" s="149">
        <v>0</v>
      </c>
      <c r="AS24" s="149">
        <v>0</v>
      </c>
      <c r="AT24" s="149">
        <v>0</v>
      </c>
      <c r="AU24" s="149">
        <v>0</v>
      </c>
      <c r="AV24" s="149">
        <v>0</v>
      </c>
      <c r="AW24" s="149">
        <v>0</v>
      </c>
      <c r="AX24" s="149">
        <v>0</v>
      </c>
      <c r="AY24" s="149">
        <v>0</v>
      </c>
      <c r="AZ24" s="149">
        <v>0</v>
      </c>
      <c r="BA24" s="149">
        <v>0</v>
      </c>
      <c r="BB24" s="149">
        <v>0</v>
      </c>
      <c r="BC24" s="149">
        <v>0</v>
      </c>
      <c r="BD24" s="149">
        <v>0</v>
      </c>
      <c r="BE24" s="149">
        <v>0</v>
      </c>
      <c r="BF24" s="149">
        <v>0</v>
      </c>
      <c r="BG24" s="149">
        <v>0</v>
      </c>
      <c r="BH24" s="149">
        <v>0</v>
      </c>
      <c r="BI24" s="149">
        <v>0</v>
      </c>
      <c r="BJ24" s="149">
        <v>0</v>
      </c>
      <c r="BK24" s="149">
        <v>0</v>
      </c>
      <c r="BL24" s="149">
        <v>0</v>
      </c>
      <c r="BM24" s="149">
        <v>0</v>
      </c>
      <c r="BN24" s="149">
        <v>0</v>
      </c>
      <c r="BO24" s="149">
        <v>0</v>
      </c>
      <c r="BP24" s="149">
        <v>0</v>
      </c>
      <c r="BQ24" s="149">
        <v>0</v>
      </c>
      <c r="BR24" s="149">
        <v>0</v>
      </c>
      <c r="BS24" s="149">
        <v>0</v>
      </c>
      <c r="BT24" s="149">
        <v>0</v>
      </c>
      <c r="BU24" s="149">
        <v>0</v>
      </c>
      <c r="BV24" s="149">
        <v>0</v>
      </c>
      <c r="BW24" s="149">
        <v>0</v>
      </c>
      <c r="BX24" s="149">
        <v>0</v>
      </c>
      <c r="BY24" s="149">
        <v>0</v>
      </c>
      <c r="BZ24" s="149">
        <v>0</v>
      </c>
    </row>
    <row r="25" spans="1:78">
      <c r="A25" s="149">
        <v>301</v>
      </c>
      <c r="B25" s="154">
        <f>B15+1</f>
        <v>300003</v>
      </c>
      <c r="C25" s="133" t="str">
        <f>VLOOKUP(B25,Multilingual!A:B,2,FALSE)</f>
        <v>고급 가죽 바지</v>
      </c>
      <c r="D25" s="149">
        <v>0</v>
      </c>
      <c r="E25" s="149">
        <v>0</v>
      </c>
      <c r="F25" s="149">
        <v>0</v>
      </c>
      <c r="G25" s="149">
        <v>1</v>
      </c>
      <c r="H25" s="149">
        <v>0</v>
      </c>
      <c r="I25" s="149">
        <v>0</v>
      </c>
      <c r="J25" s="149">
        <v>0</v>
      </c>
      <c r="K25" s="149">
        <v>0</v>
      </c>
      <c r="L25" s="149">
        <v>0</v>
      </c>
      <c r="M25" s="149">
        <v>0</v>
      </c>
      <c r="N25" s="149">
        <v>0</v>
      </c>
      <c r="O25" s="149">
        <v>0</v>
      </c>
      <c r="P25" s="149">
        <v>0</v>
      </c>
      <c r="Q25" s="149">
        <v>0</v>
      </c>
      <c r="R25" s="149">
        <v>0</v>
      </c>
      <c r="S25" s="135">
        <f>S15+100</f>
        <v>510201</v>
      </c>
      <c r="T25" s="149">
        <v>0</v>
      </c>
      <c r="U25" s="149">
        <v>0</v>
      </c>
      <c r="V25" s="149">
        <v>0</v>
      </c>
      <c r="W25" s="149">
        <v>0</v>
      </c>
      <c r="X25" s="149">
        <v>1</v>
      </c>
      <c r="Y25" s="149">
        <v>0</v>
      </c>
      <c r="Z25" s="149">
        <v>0</v>
      </c>
      <c r="AA25" s="149">
        <v>0</v>
      </c>
      <c r="AB25" s="149">
        <v>0</v>
      </c>
      <c r="AC25" s="149">
        <v>0</v>
      </c>
      <c r="AD25" s="149">
        <v>0</v>
      </c>
      <c r="AE25" s="149">
        <v>0</v>
      </c>
      <c r="AF25" s="149">
        <v>0</v>
      </c>
      <c r="AG25" s="149">
        <v>0</v>
      </c>
      <c r="AH25" s="149">
        <v>0</v>
      </c>
      <c r="AI25" s="149">
        <v>0</v>
      </c>
      <c r="AJ25" s="149">
        <v>0</v>
      </c>
      <c r="AK25" s="149">
        <v>0</v>
      </c>
      <c r="AL25" s="149">
        <v>0</v>
      </c>
      <c r="AM25" s="149">
        <v>0</v>
      </c>
      <c r="AN25" s="149">
        <v>0</v>
      </c>
      <c r="AO25" s="149">
        <v>0</v>
      </c>
      <c r="AP25" s="149">
        <v>0</v>
      </c>
      <c r="AQ25" s="149">
        <v>0</v>
      </c>
      <c r="AR25" s="149">
        <v>0</v>
      </c>
      <c r="AS25" s="149">
        <v>2500</v>
      </c>
      <c r="AT25" s="149">
        <v>0</v>
      </c>
      <c r="AU25" s="149">
        <v>0</v>
      </c>
      <c r="AV25" s="149">
        <v>0</v>
      </c>
      <c r="AW25" s="149">
        <v>0</v>
      </c>
      <c r="AX25" s="149">
        <v>0</v>
      </c>
      <c r="AY25" s="149">
        <v>0</v>
      </c>
      <c r="AZ25" s="149">
        <v>0</v>
      </c>
      <c r="BA25" s="149">
        <v>0</v>
      </c>
      <c r="BB25" s="149">
        <v>0</v>
      </c>
      <c r="BC25" s="149">
        <v>0</v>
      </c>
      <c r="BD25" s="149">
        <v>0</v>
      </c>
      <c r="BE25" s="149">
        <v>0</v>
      </c>
      <c r="BF25" s="149">
        <v>0</v>
      </c>
      <c r="BG25" s="149">
        <v>0</v>
      </c>
      <c r="BH25" s="149">
        <v>0</v>
      </c>
      <c r="BI25" s="149">
        <v>0</v>
      </c>
      <c r="BJ25" s="149">
        <v>0</v>
      </c>
      <c r="BK25" s="149">
        <v>0</v>
      </c>
      <c r="BL25" s="149">
        <v>0</v>
      </c>
      <c r="BM25" s="149">
        <v>0</v>
      </c>
      <c r="BN25" s="149">
        <v>0</v>
      </c>
      <c r="BO25" s="149">
        <v>0</v>
      </c>
      <c r="BP25" s="149">
        <v>0</v>
      </c>
      <c r="BQ25" s="149">
        <v>0</v>
      </c>
      <c r="BR25" s="149">
        <v>0</v>
      </c>
      <c r="BS25" s="149">
        <v>0</v>
      </c>
      <c r="BT25" s="149">
        <v>0</v>
      </c>
      <c r="BU25" s="149">
        <v>0</v>
      </c>
      <c r="BV25" s="149">
        <v>0</v>
      </c>
      <c r="BW25" s="149">
        <v>0</v>
      </c>
      <c r="BX25" s="149">
        <v>0</v>
      </c>
      <c r="BY25" s="149">
        <v>0</v>
      </c>
      <c r="BZ25" s="149">
        <v>0</v>
      </c>
    </row>
    <row r="26" spans="1:78">
      <c r="A26" s="149">
        <f t="shared" si="0"/>
        <v>302</v>
      </c>
      <c r="B26" s="154">
        <f>B25</f>
        <v>300003</v>
      </c>
      <c r="C26" s="133" t="str">
        <f>VLOOKUP(B26,Multilingual!A:B,2,FALSE)</f>
        <v>고급 가죽 바지</v>
      </c>
      <c r="D26" s="149">
        <v>0</v>
      </c>
      <c r="E26" s="149">
        <v>0</v>
      </c>
      <c r="F26" s="149">
        <v>301</v>
      </c>
      <c r="G26" s="149">
        <v>1</v>
      </c>
      <c r="H26" s="149">
        <v>0</v>
      </c>
      <c r="I26" s="149">
        <v>0</v>
      </c>
      <c r="J26" s="149">
        <v>0</v>
      </c>
      <c r="K26" s="149">
        <v>0</v>
      </c>
      <c r="L26" s="149">
        <v>0</v>
      </c>
      <c r="M26" s="149">
        <v>0</v>
      </c>
      <c r="N26" s="149">
        <v>0</v>
      </c>
      <c r="O26" s="149">
        <v>0</v>
      </c>
      <c r="P26" s="149">
        <v>0</v>
      </c>
      <c r="Q26" s="149">
        <v>0</v>
      </c>
      <c r="R26" s="149">
        <v>0</v>
      </c>
      <c r="S26" s="135">
        <f>S25+1</f>
        <v>510202</v>
      </c>
      <c r="T26" s="149">
        <v>0</v>
      </c>
      <c r="U26" s="149">
        <v>0</v>
      </c>
      <c r="V26" s="149">
        <v>0</v>
      </c>
      <c r="W26" s="149">
        <v>0</v>
      </c>
      <c r="X26" s="149">
        <v>1</v>
      </c>
      <c r="Y26" s="149">
        <v>0</v>
      </c>
      <c r="Z26" s="149">
        <v>0</v>
      </c>
      <c r="AA26" s="149">
        <v>0</v>
      </c>
      <c r="AB26" s="149">
        <v>0</v>
      </c>
      <c r="AC26" s="149">
        <v>0</v>
      </c>
      <c r="AD26" s="149">
        <v>0</v>
      </c>
      <c r="AE26" s="149">
        <v>0</v>
      </c>
      <c r="AF26" s="149">
        <v>0</v>
      </c>
      <c r="AG26" s="149">
        <v>0</v>
      </c>
      <c r="AH26" s="149">
        <v>0</v>
      </c>
      <c r="AI26" s="149">
        <v>0</v>
      </c>
      <c r="AJ26" s="149">
        <v>0</v>
      </c>
      <c r="AK26" s="149">
        <v>0</v>
      </c>
      <c r="AL26" s="149">
        <v>0</v>
      </c>
      <c r="AM26" s="149">
        <v>0</v>
      </c>
      <c r="AN26" s="149">
        <v>0</v>
      </c>
      <c r="AO26" s="149">
        <v>0</v>
      </c>
      <c r="AP26" s="149">
        <v>0</v>
      </c>
      <c r="AQ26" s="149">
        <v>0</v>
      </c>
      <c r="AR26" s="149">
        <v>0</v>
      </c>
      <c r="AS26" s="149">
        <f>AS25+150</f>
        <v>2650</v>
      </c>
      <c r="AT26" s="149">
        <v>0</v>
      </c>
      <c r="AU26" s="149">
        <v>0</v>
      </c>
      <c r="AV26" s="149">
        <v>0</v>
      </c>
      <c r="AW26" s="149">
        <v>0</v>
      </c>
      <c r="AX26" s="149">
        <v>0</v>
      </c>
      <c r="AY26" s="149">
        <v>0</v>
      </c>
      <c r="AZ26" s="149">
        <v>0</v>
      </c>
      <c r="BA26" s="149">
        <v>0</v>
      </c>
      <c r="BB26" s="149">
        <v>0</v>
      </c>
      <c r="BC26" s="149">
        <v>0</v>
      </c>
      <c r="BD26" s="149">
        <v>0</v>
      </c>
      <c r="BE26" s="149">
        <v>0</v>
      </c>
      <c r="BF26" s="149">
        <v>0</v>
      </c>
      <c r="BG26" s="149">
        <v>0</v>
      </c>
      <c r="BH26" s="149">
        <v>0</v>
      </c>
      <c r="BI26" s="149">
        <v>0</v>
      </c>
      <c r="BJ26" s="149">
        <v>0</v>
      </c>
      <c r="BK26" s="149">
        <v>0</v>
      </c>
      <c r="BL26" s="149">
        <v>0</v>
      </c>
      <c r="BM26" s="149">
        <v>0</v>
      </c>
      <c r="BN26" s="149">
        <v>0</v>
      </c>
      <c r="BO26" s="149">
        <v>0</v>
      </c>
      <c r="BP26" s="149">
        <v>0</v>
      </c>
      <c r="BQ26" s="149">
        <v>0</v>
      </c>
      <c r="BR26" s="149">
        <v>0</v>
      </c>
      <c r="BS26" s="149">
        <v>0</v>
      </c>
      <c r="BT26" s="149">
        <v>0</v>
      </c>
      <c r="BU26" s="149">
        <v>0</v>
      </c>
      <c r="BV26" s="149">
        <v>0</v>
      </c>
      <c r="BW26" s="149">
        <v>0</v>
      </c>
      <c r="BX26" s="149">
        <v>0</v>
      </c>
      <c r="BY26" s="149">
        <v>0</v>
      </c>
      <c r="BZ26" s="149">
        <v>0</v>
      </c>
    </row>
    <row r="27" spans="1:78">
      <c r="A27" s="149">
        <f t="shared" si="0"/>
        <v>303</v>
      </c>
      <c r="B27" s="154">
        <f t="shared" ref="B27:B34" si="8">B26</f>
        <v>300003</v>
      </c>
      <c r="C27" s="133" t="str">
        <f>VLOOKUP(B27,Multilingual!A:B,2,FALSE)</f>
        <v>고급 가죽 바지</v>
      </c>
      <c r="D27" s="149">
        <v>0</v>
      </c>
      <c r="E27" s="149">
        <v>0</v>
      </c>
      <c r="F27" s="149">
        <f>F26+1</f>
        <v>302</v>
      </c>
      <c r="G27" s="149">
        <v>1</v>
      </c>
      <c r="H27" s="149">
        <v>0</v>
      </c>
      <c r="I27" s="149">
        <v>0</v>
      </c>
      <c r="J27" s="149">
        <v>0</v>
      </c>
      <c r="K27" s="149">
        <v>0</v>
      </c>
      <c r="L27" s="149">
        <v>0</v>
      </c>
      <c r="M27" s="149">
        <v>0</v>
      </c>
      <c r="N27" s="149">
        <v>0</v>
      </c>
      <c r="O27" s="149">
        <v>0</v>
      </c>
      <c r="P27" s="149">
        <v>0</v>
      </c>
      <c r="Q27" s="149">
        <v>0</v>
      </c>
      <c r="R27" s="149">
        <v>0</v>
      </c>
      <c r="S27" s="135">
        <f t="shared" si="6"/>
        <v>510203</v>
      </c>
      <c r="T27" s="149">
        <v>0</v>
      </c>
      <c r="U27" s="149">
        <v>0</v>
      </c>
      <c r="V27" s="149">
        <v>0</v>
      </c>
      <c r="W27" s="149">
        <v>0</v>
      </c>
      <c r="X27" s="149">
        <v>1</v>
      </c>
      <c r="Y27" s="149">
        <v>0</v>
      </c>
      <c r="Z27" s="149">
        <v>0</v>
      </c>
      <c r="AA27" s="149">
        <v>0</v>
      </c>
      <c r="AB27" s="149">
        <v>0</v>
      </c>
      <c r="AC27" s="149">
        <v>0</v>
      </c>
      <c r="AD27" s="149">
        <v>0</v>
      </c>
      <c r="AE27" s="149">
        <v>0</v>
      </c>
      <c r="AF27" s="149">
        <v>0</v>
      </c>
      <c r="AG27" s="149">
        <v>0</v>
      </c>
      <c r="AH27" s="149">
        <v>0</v>
      </c>
      <c r="AI27" s="149">
        <v>0</v>
      </c>
      <c r="AJ27" s="149">
        <v>0</v>
      </c>
      <c r="AK27" s="149">
        <v>0</v>
      </c>
      <c r="AL27" s="149">
        <v>0</v>
      </c>
      <c r="AM27" s="149">
        <v>0</v>
      </c>
      <c r="AN27" s="149">
        <v>0</v>
      </c>
      <c r="AO27" s="149">
        <v>0</v>
      </c>
      <c r="AP27" s="149">
        <v>0</v>
      </c>
      <c r="AQ27" s="149">
        <v>0</v>
      </c>
      <c r="AR27" s="149">
        <v>0</v>
      </c>
      <c r="AS27" s="149">
        <f t="shared" ref="AS27:AS34" si="9">AS26+150</f>
        <v>2800</v>
      </c>
      <c r="AT27" s="149">
        <v>0</v>
      </c>
      <c r="AU27" s="149">
        <v>0</v>
      </c>
      <c r="AV27" s="149">
        <v>0</v>
      </c>
      <c r="AW27" s="149">
        <v>0</v>
      </c>
      <c r="AX27" s="149">
        <v>0</v>
      </c>
      <c r="AY27" s="149">
        <v>0</v>
      </c>
      <c r="AZ27" s="149">
        <v>0</v>
      </c>
      <c r="BA27" s="149">
        <v>0</v>
      </c>
      <c r="BB27" s="149">
        <v>0</v>
      </c>
      <c r="BC27" s="149">
        <v>0</v>
      </c>
      <c r="BD27" s="149">
        <v>0</v>
      </c>
      <c r="BE27" s="149">
        <v>0</v>
      </c>
      <c r="BF27" s="149">
        <v>0</v>
      </c>
      <c r="BG27" s="149">
        <v>0</v>
      </c>
      <c r="BH27" s="149">
        <v>0</v>
      </c>
      <c r="BI27" s="149">
        <v>0</v>
      </c>
      <c r="BJ27" s="149">
        <v>0</v>
      </c>
      <c r="BK27" s="149">
        <v>0</v>
      </c>
      <c r="BL27" s="149">
        <v>0</v>
      </c>
      <c r="BM27" s="149">
        <v>0</v>
      </c>
      <c r="BN27" s="149">
        <v>0</v>
      </c>
      <c r="BO27" s="149">
        <v>0</v>
      </c>
      <c r="BP27" s="149">
        <v>0</v>
      </c>
      <c r="BQ27" s="149">
        <v>0</v>
      </c>
      <c r="BR27" s="149">
        <v>0</v>
      </c>
      <c r="BS27" s="149">
        <v>0</v>
      </c>
      <c r="BT27" s="149">
        <v>0</v>
      </c>
      <c r="BU27" s="149">
        <v>0</v>
      </c>
      <c r="BV27" s="149">
        <v>0</v>
      </c>
      <c r="BW27" s="149">
        <v>0</v>
      </c>
      <c r="BX27" s="149">
        <v>0</v>
      </c>
      <c r="BY27" s="149">
        <v>0</v>
      </c>
      <c r="BZ27" s="149">
        <v>0</v>
      </c>
    </row>
    <row r="28" spans="1:78">
      <c r="A28" s="149">
        <f t="shared" si="0"/>
        <v>304</v>
      </c>
      <c r="B28" s="154">
        <f t="shared" si="8"/>
        <v>300003</v>
      </c>
      <c r="C28" s="133" t="str">
        <f>VLOOKUP(B28,Multilingual!A:B,2,FALSE)</f>
        <v>고급 가죽 바지</v>
      </c>
      <c r="D28" s="149">
        <v>0</v>
      </c>
      <c r="E28" s="149">
        <v>0</v>
      </c>
      <c r="F28" s="149">
        <f t="shared" ref="F28:F34" si="10">F27+1</f>
        <v>303</v>
      </c>
      <c r="G28" s="149">
        <v>1</v>
      </c>
      <c r="H28" s="149">
        <v>0</v>
      </c>
      <c r="I28" s="149">
        <v>0</v>
      </c>
      <c r="J28" s="149">
        <v>0</v>
      </c>
      <c r="K28" s="149">
        <v>0</v>
      </c>
      <c r="L28" s="149">
        <v>0</v>
      </c>
      <c r="M28" s="149">
        <v>0</v>
      </c>
      <c r="N28" s="149">
        <v>0</v>
      </c>
      <c r="O28" s="149">
        <v>0</v>
      </c>
      <c r="P28" s="149">
        <v>0</v>
      </c>
      <c r="Q28" s="149">
        <v>0</v>
      </c>
      <c r="R28" s="149">
        <v>0</v>
      </c>
      <c r="S28" s="135">
        <f t="shared" si="6"/>
        <v>510204</v>
      </c>
      <c r="T28" s="149">
        <v>0</v>
      </c>
      <c r="U28" s="149">
        <v>0</v>
      </c>
      <c r="V28" s="149">
        <v>0</v>
      </c>
      <c r="W28" s="149">
        <v>0</v>
      </c>
      <c r="X28" s="149">
        <v>1</v>
      </c>
      <c r="Y28" s="149">
        <v>0</v>
      </c>
      <c r="Z28" s="149">
        <v>0</v>
      </c>
      <c r="AA28" s="149">
        <v>0</v>
      </c>
      <c r="AB28" s="149">
        <v>0</v>
      </c>
      <c r="AC28" s="149">
        <v>0</v>
      </c>
      <c r="AD28" s="149">
        <v>0</v>
      </c>
      <c r="AE28" s="149">
        <v>0</v>
      </c>
      <c r="AF28" s="149">
        <v>0</v>
      </c>
      <c r="AG28" s="149">
        <v>0</v>
      </c>
      <c r="AH28" s="149">
        <v>0</v>
      </c>
      <c r="AI28" s="149">
        <v>0</v>
      </c>
      <c r="AJ28" s="149">
        <v>0</v>
      </c>
      <c r="AK28" s="149">
        <v>0</v>
      </c>
      <c r="AL28" s="149">
        <v>0</v>
      </c>
      <c r="AM28" s="149">
        <v>0</v>
      </c>
      <c r="AN28" s="149">
        <v>0</v>
      </c>
      <c r="AO28" s="149">
        <v>0</v>
      </c>
      <c r="AP28" s="149">
        <v>0</v>
      </c>
      <c r="AQ28" s="149">
        <v>0</v>
      </c>
      <c r="AR28" s="149">
        <v>0</v>
      </c>
      <c r="AS28" s="149">
        <f t="shared" si="9"/>
        <v>2950</v>
      </c>
      <c r="AT28" s="149">
        <v>0</v>
      </c>
      <c r="AU28" s="149">
        <v>0</v>
      </c>
      <c r="AV28" s="149">
        <v>0</v>
      </c>
      <c r="AW28" s="149">
        <v>0</v>
      </c>
      <c r="AX28" s="149">
        <v>0</v>
      </c>
      <c r="AY28" s="149">
        <v>0</v>
      </c>
      <c r="AZ28" s="149">
        <v>0</v>
      </c>
      <c r="BA28" s="149">
        <v>0</v>
      </c>
      <c r="BB28" s="149">
        <v>0</v>
      </c>
      <c r="BC28" s="149">
        <v>0</v>
      </c>
      <c r="BD28" s="149">
        <v>0</v>
      </c>
      <c r="BE28" s="149">
        <v>0</v>
      </c>
      <c r="BF28" s="149">
        <v>0</v>
      </c>
      <c r="BG28" s="149">
        <v>0</v>
      </c>
      <c r="BH28" s="149">
        <v>0</v>
      </c>
      <c r="BI28" s="149">
        <v>0</v>
      </c>
      <c r="BJ28" s="149">
        <v>0</v>
      </c>
      <c r="BK28" s="149">
        <v>0</v>
      </c>
      <c r="BL28" s="149">
        <v>0</v>
      </c>
      <c r="BM28" s="149">
        <v>0</v>
      </c>
      <c r="BN28" s="149">
        <v>0</v>
      </c>
      <c r="BO28" s="149">
        <v>0</v>
      </c>
      <c r="BP28" s="149">
        <v>0</v>
      </c>
      <c r="BQ28" s="149">
        <v>0</v>
      </c>
      <c r="BR28" s="149">
        <v>0</v>
      </c>
      <c r="BS28" s="149">
        <v>0</v>
      </c>
      <c r="BT28" s="149">
        <v>0</v>
      </c>
      <c r="BU28" s="149">
        <v>0</v>
      </c>
      <c r="BV28" s="149">
        <v>0</v>
      </c>
      <c r="BW28" s="149">
        <v>0</v>
      </c>
      <c r="BX28" s="149">
        <v>0</v>
      </c>
      <c r="BY28" s="149">
        <v>0</v>
      </c>
      <c r="BZ28" s="149">
        <v>0</v>
      </c>
    </row>
    <row r="29" spans="1:78">
      <c r="A29" s="149">
        <f t="shared" si="0"/>
        <v>305</v>
      </c>
      <c r="B29" s="154">
        <f t="shared" si="8"/>
        <v>300003</v>
      </c>
      <c r="C29" s="133" t="str">
        <f>VLOOKUP(B29,Multilingual!A:B,2,FALSE)</f>
        <v>고급 가죽 바지</v>
      </c>
      <c r="D29" s="149">
        <v>0</v>
      </c>
      <c r="E29" s="149">
        <v>0</v>
      </c>
      <c r="F29" s="149">
        <f t="shared" si="10"/>
        <v>304</v>
      </c>
      <c r="G29" s="149">
        <v>1</v>
      </c>
      <c r="H29" s="149">
        <v>0</v>
      </c>
      <c r="I29" s="149">
        <v>0</v>
      </c>
      <c r="J29" s="149">
        <v>0</v>
      </c>
      <c r="K29" s="149">
        <v>0</v>
      </c>
      <c r="L29" s="149">
        <v>0</v>
      </c>
      <c r="M29" s="149">
        <v>0</v>
      </c>
      <c r="N29" s="149">
        <v>0</v>
      </c>
      <c r="O29" s="149">
        <v>0</v>
      </c>
      <c r="P29" s="149">
        <v>0</v>
      </c>
      <c r="Q29" s="149">
        <v>0</v>
      </c>
      <c r="R29" s="149">
        <v>0</v>
      </c>
      <c r="S29" s="135">
        <f t="shared" si="6"/>
        <v>510205</v>
      </c>
      <c r="T29" s="149">
        <v>0</v>
      </c>
      <c r="U29" s="149">
        <v>0</v>
      </c>
      <c r="V29" s="149">
        <v>0</v>
      </c>
      <c r="W29" s="149">
        <v>0</v>
      </c>
      <c r="X29" s="149">
        <v>1</v>
      </c>
      <c r="Y29" s="149">
        <v>0</v>
      </c>
      <c r="Z29" s="149">
        <v>0</v>
      </c>
      <c r="AA29" s="149">
        <v>0</v>
      </c>
      <c r="AB29" s="149">
        <v>0</v>
      </c>
      <c r="AC29" s="149">
        <v>0</v>
      </c>
      <c r="AD29" s="149">
        <v>0</v>
      </c>
      <c r="AE29" s="149">
        <v>0</v>
      </c>
      <c r="AF29" s="149">
        <v>0</v>
      </c>
      <c r="AG29" s="149">
        <v>0</v>
      </c>
      <c r="AH29" s="149">
        <v>0</v>
      </c>
      <c r="AI29" s="149">
        <v>0</v>
      </c>
      <c r="AJ29" s="149">
        <v>0</v>
      </c>
      <c r="AK29" s="149">
        <v>0</v>
      </c>
      <c r="AL29" s="149">
        <v>0</v>
      </c>
      <c r="AM29" s="149">
        <v>0</v>
      </c>
      <c r="AN29" s="149">
        <v>0</v>
      </c>
      <c r="AO29" s="149">
        <v>0</v>
      </c>
      <c r="AP29" s="149">
        <v>0</v>
      </c>
      <c r="AQ29" s="149">
        <v>0</v>
      </c>
      <c r="AR29" s="149">
        <v>0</v>
      </c>
      <c r="AS29" s="149">
        <f t="shared" si="9"/>
        <v>3100</v>
      </c>
      <c r="AT29" s="149">
        <v>0</v>
      </c>
      <c r="AU29" s="149">
        <v>0</v>
      </c>
      <c r="AV29" s="149">
        <v>0</v>
      </c>
      <c r="AW29" s="149">
        <v>0</v>
      </c>
      <c r="AX29" s="149">
        <v>0</v>
      </c>
      <c r="AY29" s="149">
        <v>0</v>
      </c>
      <c r="AZ29" s="149">
        <v>0</v>
      </c>
      <c r="BA29" s="149">
        <v>0</v>
      </c>
      <c r="BB29" s="149">
        <v>0</v>
      </c>
      <c r="BC29" s="149">
        <v>0</v>
      </c>
      <c r="BD29" s="149">
        <v>0</v>
      </c>
      <c r="BE29" s="149">
        <v>0</v>
      </c>
      <c r="BF29" s="149">
        <v>0</v>
      </c>
      <c r="BG29" s="149">
        <v>0</v>
      </c>
      <c r="BH29" s="149">
        <v>0</v>
      </c>
      <c r="BI29" s="149">
        <v>0</v>
      </c>
      <c r="BJ29" s="149">
        <v>0</v>
      </c>
      <c r="BK29" s="149">
        <v>0</v>
      </c>
      <c r="BL29" s="149">
        <v>0</v>
      </c>
      <c r="BM29" s="149">
        <v>0</v>
      </c>
      <c r="BN29" s="149">
        <v>0</v>
      </c>
      <c r="BO29" s="149">
        <v>0</v>
      </c>
      <c r="BP29" s="149">
        <v>0</v>
      </c>
      <c r="BQ29" s="149">
        <v>0</v>
      </c>
      <c r="BR29" s="149">
        <v>0</v>
      </c>
      <c r="BS29" s="149">
        <v>0</v>
      </c>
      <c r="BT29" s="149">
        <v>0</v>
      </c>
      <c r="BU29" s="149">
        <v>0</v>
      </c>
      <c r="BV29" s="149">
        <v>0</v>
      </c>
      <c r="BW29" s="149">
        <v>0</v>
      </c>
      <c r="BX29" s="149">
        <v>0</v>
      </c>
      <c r="BY29" s="149">
        <v>0</v>
      </c>
      <c r="BZ29" s="149">
        <v>0</v>
      </c>
    </row>
    <row r="30" spans="1:78">
      <c r="A30" s="149">
        <f t="shared" si="0"/>
        <v>306</v>
      </c>
      <c r="B30" s="154">
        <f t="shared" si="8"/>
        <v>300003</v>
      </c>
      <c r="C30" s="133" t="str">
        <f>VLOOKUP(B30,Multilingual!A:B,2,FALSE)</f>
        <v>고급 가죽 바지</v>
      </c>
      <c r="D30" s="149">
        <v>0</v>
      </c>
      <c r="E30" s="149">
        <v>0</v>
      </c>
      <c r="F30" s="149">
        <f t="shared" si="10"/>
        <v>305</v>
      </c>
      <c r="G30" s="149">
        <v>1</v>
      </c>
      <c r="H30" s="149">
        <v>0</v>
      </c>
      <c r="I30" s="149">
        <v>0</v>
      </c>
      <c r="J30" s="149">
        <v>0</v>
      </c>
      <c r="K30" s="149">
        <v>0</v>
      </c>
      <c r="L30" s="149">
        <v>0</v>
      </c>
      <c r="M30" s="149">
        <v>0</v>
      </c>
      <c r="N30" s="149">
        <v>0</v>
      </c>
      <c r="O30" s="149">
        <v>0</v>
      </c>
      <c r="P30" s="149">
        <v>0</v>
      </c>
      <c r="Q30" s="149">
        <v>0</v>
      </c>
      <c r="R30" s="149">
        <v>0</v>
      </c>
      <c r="S30" s="135">
        <f t="shared" si="6"/>
        <v>510206</v>
      </c>
      <c r="T30" s="149">
        <v>0</v>
      </c>
      <c r="U30" s="149">
        <v>0</v>
      </c>
      <c r="V30" s="149">
        <v>0</v>
      </c>
      <c r="W30" s="149">
        <v>0</v>
      </c>
      <c r="X30" s="149">
        <v>1</v>
      </c>
      <c r="Y30" s="149">
        <v>0</v>
      </c>
      <c r="Z30" s="149">
        <v>0</v>
      </c>
      <c r="AA30" s="149">
        <v>0</v>
      </c>
      <c r="AB30" s="149">
        <v>0</v>
      </c>
      <c r="AC30" s="149">
        <v>0</v>
      </c>
      <c r="AD30" s="149">
        <v>0</v>
      </c>
      <c r="AE30" s="149">
        <v>0</v>
      </c>
      <c r="AF30" s="149">
        <v>0</v>
      </c>
      <c r="AG30" s="149">
        <v>0</v>
      </c>
      <c r="AH30" s="149">
        <v>0</v>
      </c>
      <c r="AI30" s="149">
        <v>0</v>
      </c>
      <c r="AJ30" s="149">
        <v>0</v>
      </c>
      <c r="AK30" s="149">
        <v>0</v>
      </c>
      <c r="AL30" s="149">
        <v>0</v>
      </c>
      <c r="AM30" s="149">
        <v>0</v>
      </c>
      <c r="AN30" s="149">
        <v>0</v>
      </c>
      <c r="AO30" s="149">
        <v>0</v>
      </c>
      <c r="AP30" s="149">
        <v>0</v>
      </c>
      <c r="AQ30" s="149">
        <v>0</v>
      </c>
      <c r="AR30" s="149">
        <v>0</v>
      </c>
      <c r="AS30" s="149">
        <f t="shared" si="9"/>
        <v>3250</v>
      </c>
      <c r="AT30" s="149">
        <v>0</v>
      </c>
      <c r="AU30" s="149">
        <v>0</v>
      </c>
      <c r="AV30" s="149">
        <v>0</v>
      </c>
      <c r="AW30" s="149">
        <v>0</v>
      </c>
      <c r="AX30" s="149">
        <v>0</v>
      </c>
      <c r="AY30" s="149">
        <v>0</v>
      </c>
      <c r="AZ30" s="149">
        <v>0</v>
      </c>
      <c r="BA30" s="149">
        <v>0</v>
      </c>
      <c r="BB30" s="149">
        <v>0</v>
      </c>
      <c r="BC30" s="149">
        <v>0</v>
      </c>
      <c r="BD30" s="149">
        <v>0</v>
      </c>
      <c r="BE30" s="149">
        <v>0</v>
      </c>
      <c r="BF30" s="149">
        <v>0</v>
      </c>
      <c r="BG30" s="149">
        <v>0</v>
      </c>
      <c r="BH30" s="149">
        <v>0</v>
      </c>
      <c r="BI30" s="149">
        <v>0</v>
      </c>
      <c r="BJ30" s="149">
        <v>0</v>
      </c>
      <c r="BK30" s="149">
        <v>0</v>
      </c>
      <c r="BL30" s="149">
        <v>0</v>
      </c>
      <c r="BM30" s="149">
        <v>0</v>
      </c>
      <c r="BN30" s="149">
        <v>0</v>
      </c>
      <c r="BO30" s="149">
        <v>0</v>
      </c>
      <c r="BP30" s="149">
        <v>0</v>
      </c>
      <c r="BQ30" s="149">
        <v>0</v>
      </c>
      <c r="BR30" s="149">
        <v>0</v>
      </c>
      <c r="BS30" s="149">
        <v>0</v>
      </c>
      <c r="BT30" s="149">
        <v>0</v>
      </c>
      <c r="BU30" s="149">
        <v>0</v>
      </c>
      <c r="BV30" s="149">
        <v>0</v>
      </c>
      <c r="BW30" s="149">
        <v>0</v>
      </c>
      <c r="BX30" s="149">
        <v>0</v>
      </c>
      <c r="BY30" s="149">
        <v>0</v>
      </c>
      <c r="BZ30" s="149">
        <v>0</v>
      </c>
    </row>
    <row r="31" spans="1:78">
      <c r="A31" s="149">
        <f t="shared" si="0"/>
        <v>307</v>
      </c>
      <c r="B31" s="154">
        <f t="shared" si="8"/>
        <v>300003</v>
      </c>
      <c r="C31" s="133" t="str">
        <f>VLOOKUP(B31,Multilingual!A:B,2,FALSE)</f>
        <v>고급 가죽 바지</v>
      </c>
      <c r="D31" s="149">
        <v>0</v>
      </c>
      <c r="E31" s="149">
        <v>0</v>
      </c>
      <c r="F31" s="149">
        <f t="shared" si="10"/>
        <v>306</v>
      </c>
      <c r="G31" s="149">
        <v>1</v>
      </c>
      <c r="H31" s="149">
        <v>0</v>
      </c>
      <c r="I31" s="149">
        <v>0</v>
      </c>
      <c r="J31" s="149">
        <v>0</v>
      </c>
      <c r="K31" s="149">
        <v>0</v>
      </c>
      <c r="L31" s="149">
        <v>0</v>
      </c>
      <c r="M31" s="149">
        <v>0</v>
      </c>
      <c r="N31" s="149">
        <v>0</v>
      </c>
      <c r="O31" s="149">
        <v>0</v>
      </c>
      <c r="P31" s="149">
        <v>0</v>
      </c>
      <c r="Q31" s="149">
        <v>0</v>
      </c>
      <c r="R31" s="149">
        <v>0</v>
      </c>
      <c r="S31" s="135">
        <f t="shared" si="6"/>
        <v>510207</v>
      </c>
      <c r="T31" s="149">
        <v>0</v>
      </c>
      <c r="U31" s="149">
        <v>0</v>
      </c>
      <c r="V31" s="149">
        <v>0</v>
      </c>
      <c r="W31" s="149">
        <v>0</v>
      </c>
      <c r="X31" s="149">
        <v>1</v>
      </c>
      <c r="Y31" s="149">
        <v>0</v>
      </c>
      <c r="Z31" s="149">
        <v>0</v>
      </c>
      <c r="AA31" s="149">
        <v>0</v>
      </c>
      <c r="AB31" s="149">
        <v>0</v>
      </c>
      <c r="AC31" s="149">
        <v>0</v>
      </c>
      <c r="AD31" s="149">
        <v>0</v>
      </c>
      <c r="AE31" s="149">
        <v>0</v>
      </c>
      <c r="AF31" s="149">
        <v>0</v>
      </c>
      <c r="AG31" s="149">
        <v>0</v>
      </c>
      <c r="AH31" s="149">
        <v>0</v>
      </c>
      <c r="AI31" s="149">
        <v>0</v>
      </c>
      <c r="AJ31" s="149">
        <v>0</v>
      </c>
      <c r="AK31" s="149">
        <v>0</v>
      </c>
      <c r="AL31" s="149">
        <v>0</v>
      </c>
      <c r="AM31" s="149">
        <v>0</v>
      </c>
      <c r="AN31" s="149">
        <v>0</v>
      </c>
      <c r="AO31" s="149">
        <v>0</v>
      </c>
      <c r="AP31" s="149">
        <v>0</v>
      </c>
      <c r="AQ31" s="149">
        <v>0</v>
      </c>
      <c r="AR31" s="149">
        <v>0</v>
      </c>
      <c r="AS31" s="149">
        <f t="shared" si="9"/>
        <v>3400</v>
      </c>
      <c r="AT31" s="149">
        <v>0</v>
      </c>
      <c r="AU31" s="149">
        <v>0</v>
      </c>
      <c r="AV31" s="149">
        <v>0</v>
      </c>
      <c r="AW31" s="149">
        <v>0</v>
      </c>
      <c r="AX31" s="149">
        <v>0</v>
      </c>
      <c r="AY31" s="149">
        <v>0</v>
      </c>
      <c r="AZ31" s="149">
        <v>0</v>
      </c>
      <c r="BA31" s="149">
        <v>0</v>
      </c>
      <c r="BB31" s="149">
        <v>0</v>
      </c>
      <c r="BC31" s="149">
        <v>0</v>
      </c>
      <c r="BD31" s="149">
        <v>0</v>
      </c>
      <c r="BE31" s="149">
        <v>0</v>
      </c>
      <c r="BF31" s="149">
        <v>0</v>
      </c>
      <c r="BG31" s="149">
        <v>0</v>
      </c>
      <c r="BH31" s="149">
        <v>0</v>
      </c>
      <c r="BI31" s="149">
        <v>0</v>
      </c>
      <c r="BJ31" s="149">
        <v>0</v>
      </c>
      <c r="BK31" s="149">
        <v>0</v>
      </c>
      <c r="BL31" s="149">
        <v>0</v>
      </c>
      <c r="BM31" s="149">
        <v>0</v>
      </c>
      <c r="BN31" s="149">
        <v>0</v>
      </c>
      <c r="BO31" s="149">
        <v>0</v>
      </c>
      <c r="BP31" s="149">
        <v>0</v>
      </c>
      <c r="BQ31" s="149">
        <v>0</v>
      </c>
      <c r="BR31" s="149">
        <v>0</v>
      </c>
      <c r="BS31" s="149">
        <v>0</v>
      </c>
      <c r="BT31" s="149">
        <v>0</v>
      </c>
      <c r="BU31" s="149">
        <v>0</v>
      </c>
      <c r="BV31" s="149">
        <v>0</v>
      </c>
      <c r="BW31" s="149">
        <v>0</v>
      </c>
      <c r="BX31" s="149">
        <v>0</v>
      </c>
      <c r="BY31" s="149">
        <v>0</v>
      </c>
      <c r="BZ31" s="149">
        <v>0</v>
      </c>
    </row>
    <row r="32" spans="1:78">
      <c r="A32" s="149">
        <f t="shared" si="0"/>
        <v>308</v>
      </c>
      <c r="B32" s="154">
        <f t="shared" si="8"/>
        <v>300003</v>
      </c>
      <c r="C32" s="133" t="str">
        <f>VLOOKUP(B32,Multilingual!A:B,2,FALSE)</f>
        <v>고급 가죽 바지</v>
      </c>
      <c r="D32" s="149">
        <v>0</v>
      </c>
      <c r="E32" s="149">
        <v>0</v>
      </c>
      <c r="F32" s="149">
        <f t="shared" si="10"/>
        <v>307</v>
      </c>
      <c r="G32" s="149">
        <v>1</v>
      </c>
      <c r="H32" s="149">
        <v>0</v>
      </c>
      <c r="I32" s="149">
        <v>0</v>
      </c>
      <c r="J32" s="149">
        <v>0</v>
      </c>
      <c r="K32" s="149">
        <v>0</v>
      </c>
      <c r="L32" s="149">
        <v>0</v>
      </c>
      <c r="M32" s="149">
        <v>0</v>
      </c>
      <c r="N32" s="149">
        <v>0</v>
      </c>
      <c r="O32" s="149">
        <v>0</v>
      </c>
      <c r="P32" s="149">
        <v>0</v>
      </c>
      <c r="Q32" s="149">
        <v>0</v>
      </c>
      <c r="R32" s="149">
        <v>0</v>
      </c>
      <c r="S32" s="135">
        <f t="shared" si="6"/>
        <v>510208</v>
      </c>
      <c r="T32" s="149">
        <v>0</v>
      </c>
      <c r="U32" s="149">
        <v>0</v>
      </c>
      <c r="V32" s="149">
        <v>0</v>
      </c>
      <c r="W32" s="149">
        <v>0</v>
      </c>
      <c r="X32" s="149">
        <v>1</v>
      </c>
      <c r="Y32" s="149">
        <v>0</v>
      </c>
      <c r="Z32" s="149">
        <v>0</v>
      </c>
      <c r="AA32" s="149">
        <v>0</v>
      </c>
      <c r="AB32" s="149">
        <v>0</v>
      </c>
      <c r="AC32" s="149">
        <v>0</v>
      </c>
      <c r="AD32" s="149">
        <v>0</v>
      </c>
      <c r="AE32" s="149">
        <v>0</v>
      </c>
      <c r="AF32" s="149">
        <v>0</v>
      </c>
      <c r="AG32" s="149">
        <v>0</v>
      </c>
      <c r="AH32" s="149">
        <v>0</v>
      </c>
      <c r="AI32" s="149">
        <v>0</v>
      </c>
      <c r="AJ32" s="149">
        <v>0</v>
      </c>
      <c r="AK32" s="149">
        <v>0</v>
      </c>
      <c r="AL32" s="149">
        <v>0</v>
      </c>
      <c r="AM32" s="149">
        <v>0</v>
      </c>
      <c r="AN32" s="149">
        <v>0</v>
      </c>
      <c r="AO32" s="149">
        <v>0</v>
      </c>
      <c r="AP32" s="149">
        <v>0</v>
      </c>
      <c r="AQ32" s="149">
        <v>0</v>
      </c>
      <c r="AR32" s="149">
        <v>0</v>
      </c>
      <c r="AS32" s="149">
        <f t="shared" si="9"/>
        <v>3550</v>
      </c>
      <c r="AT32" s="149">
        <v>0</v>
      </c>
      <c r="AU32" s="149">
        <v>0</v>
      </c>
      <c r="AV32" s="149">
        <v>0</v>
      </c>
      <c r="AW32" s="149">
        <v>0</v>
      </c>
      <c r="AX32" s="149">
        <v>0</v>
      </c>
      <c r="AY32" s="149">
        <v>0</v>
      </c>
      <c r="AZ32" s="149">
        <v>0</v>
      </c>
      <c r="BA32" s="149">
        <v>0</v>
      </c>
      <c r="BB32" s="149">
        <v>0</v>
      </c>
      <c r="BC32" s="149">
        <v>0</v>
      </c>
      <c r="BD32" s="149">
        <v>0</v>
      </c>
      <c r="BE32" s="149">
        <v>0</v>
      </c>
      <c r="BF32" s="149">
        <v>0</v>
      </c>
      <c r="BG32" s="149">
        <v>0</v>
      </c>
      <c r="BH32" s="149">
        <v>0</v>
      </c>
      <c r="BI32" s="149">
        <v>0</v>
      </c>
      <c r="BJ32" s="149">
        <v>0</v>
      </c>
      <c r="BK32" s="149">
        <v>0</v>
      </c>
      <c r="BL32" s="149">
        <v>0</v>
      </c>
      <c r="BM32" s="149">
        <v>0</v>
      </c>
      <c r="BN32" s="149">
        <v>0</v>
      </c>
      <c r="BO32" s="149">
        <v>0</v>
      </c>
      <c r="BP32" s="149">
        <v>0</v>
      </c>
      <c r="BQ32" s="149">
        <v>0</v>
      </c>
      <c r="BR32" s="149">
        <v>0</v>
      </c>
      <c r="BS32" s="149">
        <v>0</v>
      </c>
      <c r="BT32" s="149">
        <v>0</v>
      </c>
      <c r="BU32" s="149">
        <v>0</v>
      </c>
      <c r="BV32" s="149">
        <v>0</v>
      </c>
      <c r="BW32" s="149">
        <v>0</v>
      </c>
      <c r="BX32" s="149">
        <v>0</v>
      </c>
      <c r="BY32" s="149">
        <v>0</v>
      </c>
      <c r="BZ32" s="149">
        <v>0</v>
      </c>
    </row>
    <row r="33" spans="1:78">
      <c r="A33" s="149">
        <f t="shared" si="0"/>
        <v>309</v>
      </c>
      <c r="B33" s="154">
        <f t="shared" si="8"/>
        <v>300003</v>
      </c>
      <c r="C33" s="133" t="str">
        <f>VLOOKUP(B33,Multilingual!A:B,2,FALSE)</f>
        <v>고급 가죽 바지</v>
      </c>
      <c r="D33" s="149">
        <v>0</v>
      </c>
      <c r="E33" s="149">
        <v>0</v>
      </c>
      <c r="F33" s="149">
        <f t="shared" si="10"/>
        <v>308</v>
      </c>
      <c r="G33" s="149">
        <v>1</v>
      </c>
      <c r="H33" s="149">
        <v>0</v>
      </c>
      <c r="I33" s="149">
        <v>0</v>
      </c>
      <c r="J33" s="149">
        <v>0</v>
      </c>
      <c r="K33" s="149">
        <v>0</v>
      </c>
      <c r="L33" s="149">
        <v>0</v>
      </c>
      <c r="M33" s="149">
        <v>0</v>
      </c>
      <c r="N33" s="149">
        <v>0</v>
      </c>
      <c r="O33" s="149">
        <v>0</v>
      </c>
      <c r="P33" s="149">
        <v>0</v>
      </c>
      <c r="Q33" s="149">
        <v>0</v>
      </c>
      <c r="R33" s="149">
        <v>0</v>
      </c>
      <c r="S33" s="135">
        <f t="shared" si="6"/>
        <v>510209</v>
      </c>
      <c r="T33" s="149">
        <v>0</v>
      </c>
      <c r="U33" s="149">
        <v>0</v>
      </c>
      <c r="V33" s="149">
        <v>0</v>
      </c>
      <c r="W33" s="149">
        <v>0</v>
      </c>
      <c r="X33" s="149">
        <v>1</v>
      </c>
      <c r="Y33" s="149">
        <v>0</v>
      </c>
      <c r="Z33" s="149">
        <v>0</v>
      </c>
      <c r="AA33" s="149">
        <v>0</v>
      </c>
      <c r="AB33" s="149">
        <v>0</v>
      </c>
      <c r="AC33" s="149">
        <v>0</v>
      </c>
      <c r="AD33" s="149">
        <v>0</v>
      </c>
      <c r="AE33" s="149">
        <v>0</v>
      </c>
      <c r="AF33" s="149">
        <v>0</v>
      </c>
      <c r="AG33" s="149">
        <v>0</v>
      </c>
      <c r="AH33" s="149">
        <v>0</v>
      </c>
      <c r="AI33" s="149">
        <v>0</v>
      </c>
      <c r="AJ33" s="149">
        <v>0</v>
      </c>
      <c r="AK33" s="149">
        <v>0</v>
      </c>
      <c r="AL33" s="149">
        <v>0</v>
      </c>
      <c r="AM33" s="149">
        <v>0</v>
      </c>
      <c r="AN33" s="149">
        <v>0</v>
      </c>
      <c r="AO33" s="149">
        <v>0</v>
      </c>
      <c r="AP33" s="149">
        <v>0</v>
      </c>
      <c r="AQ33" s="149">
        <v>0</v>
      </c>
      <c r="AR33" s="149">
        <v>0</v>
      </c>
      <c r="AS33" s="149">
        <f t="shared" si="9"/>
        <v>3700</v>
      </c>
      <c r="AT33" s="149">
        <v>0</v>
      </c>
      <c r="AU33" s="149">
        <v>0</v>
      </c>
      <c r="AV33" s="149">
        <v>0</v>
      </c>
      <c r="AW33" s="149">
        <v>0</v>
      </c>
      <c r="AX33" s="149">
        <v>0</v>
      </c>
      <c r="AY33" s="149">
        <v>0</v>
      </c>
      <c r="AZ33" s="149">
        <v>0</v>
      </c>
      <c r="BA33" s="149">
        <v>0</v>
      </c>
      <c r="BB33" s="149">
        <v>0</v>
      </c>
      <c r="BC33" s="149">
        <v>0</v>
      </c>
      <c r="BD33" s="149">
        <v>0</v>
      </c>
      <c r="BE33" s="149">
        <v>0</v>
      </c>
      <c r="BF33" s="149">
        <v>0</v>
      </c>
      <c r="BG33" s="149">
        <v>0</v>
      </c>
      <c r="BH33" s="149">
        <v>0</v>
      </c>
      <c r="BI33" s="149">
        <v>0</v>
      </c>
      <c r="BJ33" s="149">
        <v>0</v>
      </c>
      <c r="BK33" s="149">
        <v>0</v>
      </c>
      <c r="BL33" s="149">
        <v>0</v>
      </c>
      <c r="BM33" s="149">
        <v>0</v>
      </c>
      <c r="BN33" s="149">
        <v>0</v>
      </c>
      <c r="BO33" s="149">
        <v>0</v>
      </c>
      <c r="BP33" s="149">
        <v>0</v>
      </c>
      <c r="BQ33" s="149">
        <v>0</v>
      </c>
      <c r="BR33" s="149">
        <v>0</v>
      </c>
      <c r="BS33" s="149">
        <v>0</v>
      </c>
      <c r="BT33" s="149">
        <v>0</v>
      </c>
      <c r="BU33" s="149">
        <v>0</v>
      </c>
      <c r="BV33" s="149">
        <v>0</v>
      </c>
      <c r="BW33" s="149">
        <v>0</v>
      </c>
      <c r="BX33" s="149">
        <v>0</v>
      </c>
      <c r="BY33" s="149">
        <v>0</v>
      </c>
      <c r="BZ33" s="149">
        <v>0</v>
      </c>
    </row>
    <row r="34" spans="1:78">
      <c r="A34" s="149">
        <f t="shared" si="0"/>
        <v>310</v>
      </c>
      <c r="B34" s="154">
        <f t="shared" si="8"/>
        <v>300003</v>
      </c>
      <c r="C34" s="133" t="str">
        <f>VLOOKUP(B34,Multilingual!A:B,2,FALSE)</f>
        <v>고급 가죽 바지</v>
      </c>
      <c r="D34" s="149">
        <v>0</v>
      </c>
      <c r="E34" s="149">
        <v>0</v>
      </c>
      <c r="F34" s="149">
        <f t="shared" si="10"/>
        <v>309</v>
      </c>
      <c r="G34" s="149">
        <v>1</v>
      </c>
      <c r="H34" s="149">
        <v>0</v>
      </c>
      <c r="I34" s="149">
        <v>0</v>
      </c>
      <c r="J34" s="149">
        <v>0</v>
      </c>
      <c r="K34" s="149">
        <v>0</v>
      </c>
      <c r="L34" s="149">
        <v>0</v>
      </c>
      <c r="M34" s="149">
        <v>0</v>
      </c>
      <c r="N34" s="149">
        <v>0</v>
      </c>
      <c r="O34" s="149">
        <v>0</v>
      </c>
      <c r="P34" s="149">
        <v>0</v>
      </c>
      <c r="Q34" s="149">
        <v>0</v>
      </c>
      <c r="R34" s="149">
        <v>0</v>
      </c>
      <c r="S34" s="135">
        <f t="shared" si="6"/>
        <v>510210</v>
      </c>
      <c r="T34" s="149">
        <v>0</v>
      </c>
      <c r="U34" s="149">
        <v>0</v>
      </c>
      <c r="V34" s="149">
        <v>0</v>
      </c>
      <c r="W34" s="149">
        <v>0</v>
      </c>
      <c r="X34" s="149">
        <v>1</v>
      </c>
      <c r="Y34" s="149">
        <v>0</v>
      </c>
      <c r="Z34" s="149">
        <v>0</v>
      </c>
      <c r="AA34" s="149">
        <v>0</v>
      </c>
      <c r="AB34" s="149">
        <v>0</v>
      </c>
      <c r="AC34" s="149">
        <v>0</v>
      </c>
      <c r="AD34" s="149">
        <v>0</v>
      </c>
      <c r="AE34" s="149">
        <v>0</v>
      </c>
      <c r="AF34" s="149">
        <v>0</v>
      </c>
      <c r="AG34" s="149">
        <v>0</v>
      </c>
      <c r="AH34" s="149">
        <v>0</v>
      </c>
      <c r="AI34" s="149">
        <v>0</v>
      </c>
      <c r="AJ34" s="149">
        <v>0</v>
      </c>
      <c r="AK34" s="149">
        <v>0</v>
      </c>
      <c r="AL34" s="149">
        <v>0</v>
      </c>
      <c r="AM34" s="149">
        <v>0</v>
      </c>
      <c r="AN34" s="149">
        <v>0</v>
      </c>
      <c r="AO34" s="149">
        <v>0</v>
      </c>
      <c r="AP34" s="149">
        <v>0</v>
      </c>
      <c r="AQ34" s="149">
        <v>0</v>
      </c>
      <c r="AR34" s="149">
        <v>0</v>
      </c>
      <c r="AS34" s="149">
        <f t="shared" si="9"/>
        <v>3850</v>
      </c>
      <c r="AT34" s="149">
        <v>0</v>
      </c>
      <c r="AU34" s="149">
        <v>0</v>
      </c>
      <c r="AV34" s="149">
        <v>0</v>
      </c>
      <c r="AW34" s="149">
        <v>0</v>
      </c>
      <c r="AX34" s="149">
        <v>0</v>
      </c>
      <c r="AY34" s="149">
        <v>0</v>
      </c>
      <c r="AZ34" s="149">
        <v>0</v>
      </c>
      <c r="BA34" s="149">
        <v>0</v>
      </c>
      <c r="BB34" s="149">
        <v>0</v>
      </c>
      <c r="BC34" s="149">
        <v>0</v>
      </c>
      <c r="BD34" s="149">
        <v>0</v>
      </c>
      <c r="BE34" s="149">
        <v>0</v>
      </c>
      <c r="BF34" s="149">
        <v>0</v>
      </c>
      <c r="BG34" s="149">
        <v>0</v>
      </c>
      <c r="BH34" s="149">
        <v>0</v>
      </c>
      <c r="BI34" s="149">
        <v>0</v>
      </c>
      <c r="BJ34" s="149">
        <v>0</v>
      </c>
      <c r="BK34" s="149">
        <v>0</v>
      </c>
      <c r="BL34" s="149">
        <v>0</v>
      </c>
      <c r="BM34" s="149">
        <v>0</v>
      </c>
      <c r="BN34" s="149">
        <v>0</v>
      </c>
      <c r="BO34" s="149">
        <v>0</v>
      </c>
      <c r="BP34" s="149">
        <v>0</v>
      </c>
      <c r="BQ34" s="149">
        <v>0</v>
      </c>
      <c r="BR34" s="149">
        <v>0</v>
      </c>
      <c r="BS34" s="149">
        <v>0</v>
      </c>
      <c r="BT34" s="149">
        <v>0</v>
      </c>
      <c r="BU34" s="149">
        <v>0</v>
      </c>
      <c r="BV34" s="149">
        <v>0</v>
      </c>
      <c r="BW34" s="149">
        <v>0</v>
      </c>
      <c r="BX34" s="149">
        <v>0</v>
      </c>
      <c r="BY34" s="149">
        <v>0</v>
      </c>
      <c r="BZ34" s="149">
        <v>0</v>
      </c>
    </row>
    <row r="35" spans="1:78">
      <c r="A35" s="149">
        <v>401</v>
      </c>
      <c r="B35" s="154">
        <f>B25+1</f>
        <v>300004</v>
      </c>
      <c r="C35" s="133" t="str">
        <f>VLOOKUP(B35,Multilingual!A:B,2,FALSE)</f>
        <v>튼튼한 가죽 바지</v>
      </c>
      <c r="D35" s="149">
        <v>0</v>
      </c>
      <c r="E35" s="149">
        <v>0</v>
      </c>
      <c r="F35" s="149">
        <v>0</v>
      </c>
      <c r="G35" s="149">
        <v>1</v>
      </c>
      <c r="H35" s="149">
        <v>0</v>
      </c>
      <c r="I35" s="149">
        <v>0</v>
      </c>
      <c r="J35" s="149">
        <v>0</v>
      </c>
      <c r="K35" s="149">
        <v>0</v>
      </c>
      <c r="L35" s="149">
        <v>0</v>
      </c>
      <c r="M35" s="149">
        <v>0</v>
      </c>
      <c r="N35" s="149">
        <v>0</v>
      </c>
      <c r="O35" s="149">
        <v>0</v>
      </c>
      <c r="P35" s="149">
        <v>0</v>
      </c>
      <c r="Q35" s="149">
        <v>0</v>
      </c>
      <c r="R35" s="149">
        <v>0</v>
      </c>
      <c r="S35" s="135">
        <f>S25+100</f>
        <v>510301</v>
      </c>
      <c r="T35" s="149">
        <v>0</v>
      </c>
      <c r="U35" s="149">
        <v>0</v>
      </c>
      <c r="V35" s="149">
        <v>0</v>
      </c>
      <c r="W35" s="149">
        <v>0</v>
      </c>
      <c r="X35" s="149">
        <v>1</v>
      </c>
      <c r="Y35" s="149">
        <v>0</v>
      </c>
      <c r="Z35" s="149">
        <v>0</v>
      </c>
      <c r="AA35" s="149">
        <v>0</v>
      </c>
      <c r="AB35" s="149">
        <v>0</v>
      </c>
      <c r="AC35" s="149">
        <v>1000</v>
      </c>
      <c r="AD35" s="149">
        <v>0</v>
      </c>
      <c r="AE35" s="149">
        <v>0</v>
      </c>
      <c r="AF35" s="149">
        <v>0</v>
      </c>
      <c r="AG35" s="149">
        <v>0</v>
      </c>
      <c r="AH35" s="149">
        <v>0</v>
      </c>
      <c r="AI35" s="149">
        <v>0</v>
      </c>
      <c r="AJ35" s="149">
        <v>0</v>
      </c>
      <c r="AK35" s="149">
        <v>0</v>
      </c>
      <c r="AL35" s="149">
        <v>0</v>
      </c>
      <c r="AM35" s="149">
        <v>0</v>
      </c>
      <c r="AN35" s="149">
        <v>0</v>
      </c>
      <c r="AO35" s="149">
        <v>0</v>
      </c>
      <c r="AP35" s="149">
        <v>0</v>
      </c>
      <c r="AQ35" s="149">
        <v>0</v>
      </c>
      <c r="AR35" s="149">
        <v>0</v>
      </c>
      <c r="AS35" s="149">
        <v>0</v>
      </c>
      <c r="AT35" s="149">
        <v>0</v>
      </c>
      <c r="AU35" s="149">
        <v>0</v>
      </c>
      <c r="AV35" s="149">
        <v>0</v>
      </c>
      <c r="AW35" s="149">
        <v>0</v>
      </c>
      <c r="AX35" s="149">
        <v>0</v>
      </c>
      <c r="AY35" s="149">
        <v>0</v>
      </c>
      <c r="AZ35" s="149">
        <v>0</v>
      </c>
      <c r="BA35" s="149">
        <v>0</v>
      </c>
      <c r="BB35" s="149">
        <v>0</v>
      </c>
      <c r="BC35" s="149">
        <v>0</v>
      </c>
      <c r="BD35" s="149">
        <v>0</v>
      </c>
      <c r="BE35" s="149">
        <v>0</v>
      </c>
      <c r="BF35" s="149">
        <v>0</v>
      </c>
      <c r="BG35" s="149">
        <v>0</v>
      </c>
      <c r="BH35" s="149">
        <v>0</v>
      </c>
      <c r="BI35" s="149">
        <v>0</v>
      </c>
      <c r="BJ35" s="149">
        <v>0</v>
      </c>
      <c r="BK35" s="149">
        <v>0</v>
      </c>
      <c r="BL35" s="149">
        <v>0</v>
      </c>
      <c r="BM35" s="149">
        <v>0</v>
      </c>
      <c r="BN35" s="149">
        <v>0</v>
      </c>
      <c r="BO35" s="149">
        <v>0</v>
      </c>
      <c r="BP35" s="149">
        <v>0</v>
      </c>
      <c r="BQ35" s="149">
        <v>0</v>
      </c>
      <c r="BR35" s="149">
        <v>0</v>
      </c>
      <c r="BS35" s="149">
        <v>0</v>
      </c>
      <c r="BT35" s="149">
        <v>0</v>
      </c>
      <c r="BU35" s="149">
        <v>0</v>
      </c>
      <c r="BV35" s="149">
        <v>0</v>
      </c>
      <c r="BW35" s="149">
        <v>0</v>
      </c>
      <c r="BX35" s="149">
        <v>0</v>
      </c>
      <c r="BY35" s="149">
        <v>0</v>
      </c>
      <c r="BZ35" s="149">
        <v>0</v>
      </c>
    </row>
    <row r="36" spans="1:78">
      <c r="A36" s="149">
        <f t="shared" si="0"/>
        <v>402</v>
      </c>
      <c r="B36" s="154">
        <f>B35</f>
        <v>300004</v>
      </c>
      <c r="C36" s="133" t="str">
        <f>VLOOKUP(B36,Multilingual!A:B,2,FALSE)</f>
        <v>튼튼한 가죽 바지</v>
      </c>
      <c r="D36" s="149">
        <v>0</v>
      </c>
      <c r="E36" s="149">
        <v>0</v>
      </c>
      <c r="F36" s="149">
        <v>401</v>
      </c>
      <c r="G36" s="149">
        <v>1</v>
      </c>
      <c r="H36" s="149">
        <v>0</v>
      </c>
      <c r="I36" s="149">
        <v>0</v>
      </c>
      <c r="J36" s="149">
        <v>0</v>
      </c>
      <c r="K36" s="149">
        <v>0</v>
      </c>
      <c r="L36" s="149">
        <v>0</v>
      </c>
      <c r="M36" s="149">
        <v>0</v>
      </c>
      <c r="N36" s="149">
        <v>0</v>
      </c>
      <c r="O36" s="149">
        <v>0</v>
      </c>
      <c r="P36" s="149">
        <v>0</v>
      </c>
      <c r="Q36" s="149">
        <v>0</v>
      </c>
      <c r="R36" s="149">
        <v>0</v>
      </c>
      <c r="S36" s="135">
        <f>S35+1</f>
        <v>510302</v>
      </c>
      <c r="T36" s="149">
        <v>0</v>
      </c>
      <c r="U36" s="149">
        <v>0</v>
      </c>
      <c r="V36" s="149">
        <v>0</v>
      </c>
      <c r="W36" s="149">
        <v>0</v>
      </c>
      <c r="X36" s="149">
        <v>1</v>
      </c>
      <c r="Y36" s="149">
        <v>0</v>
      </c>
      <c r="Z36" s="149">
        <v>0</v>
      </c>
      <c r="AA36" s="149">
        <v>0</v>
      </c>
      <c r="AB36" s="149">
        <v>0</v>
      </c>
      <c r="AC36" s="149">
        <f>AC35+150</f>
        <v>1150</v>
      </c>
      <c r="AD36" s="149">
        <v>0</v>
      </c>
      <c r="AE36" s="149">
        <v>0</v>
      </c>
      <c r="AF36" s="149">
        <v>0</v>
      </c>
      <c r="AG36" s="149">
        <v>0</v>
      </c>
      <c r="AH36" s="149">
        <v>0</v>
      </c>
      <c r="AI36" s="149">
        <v>0</v>
      </c>
      <c r="AJ36" s="149">
        <v>0</v>
      </c>
      <c r="AK36" s="149">
        <v>0</v>
      </c>
      <c r="AL36" s="149">
        <v>0</v>
      </c>
      <c r="AM36" s="149">
        <v>0</v>
      </c>
      <c r="AN36" s="149">
        <v>0</v>
      </c>
      <c r="AO36" s="149">
        <v>0</v>
      </c>
      <c r="AP36" s="149">
        <v>0</v>
      </c>
      <c r="AQ36" s="149">
        <v>0</v>
      </c>
      <c r="AR36" s="149">
        <v>0</v>
      </c>
      <c r="AS36" s="149">
        <v>0</v>
      </c>
      <c r="AT36" s="149">
        <v>0</v>
      </c>
      <c r="AU36" s="149">
        <v>0</v>
      </c>
      <c r="AV36" s="149">
        <v>0</v>
      </c>
      <c r="AW36" s="149">
        <v>0</v>
      </c>
      <c r="AX36" s="149">
        <v>0</v>
      </c>
      <c r="AY36" s="149">
        <v>0</v>
      </c>
      <c r="AZ36" s="149">
        <v>0</v>
      </c>
      <c r="BA36" s="149">
        <v>0</v>
      </c>
      <c r="BB36" s="149">
        <v>0</v>
      </c>
      <c r="BC36" s="149">
        <v>0</v>
      </c>
      <c r="BD36" s="149">
        <v>0</v>
      </c>
      <c r="BE36" s="149">
        <v>0</v>
      </c>
      <c r="BF36" s="149">
        <v>0</v>
      </c>
      <c r="BG36" s="149">
        <v>0</v>
      </c>
      <c r="BH36" s="149">
        <v>0</v>
      </c>
      <c r="BI36" s="149">
        <v>0</v>
      </c>
      <c r="BJ36" s="149">
        <v>0</v>
      </c>
      <c r="BK36" s="149">
        <v>0</v>
      </c>
      <c r="BL36" s="149">
        <v>0</v>
      </c>
      <c r="BM36" s="149">
        <v>0</v>
      </c>
      <c r="BN36" s="149">
        <v>0</v>
      </c>
      <c r="BO36" s="149">
        <v>0</v>
      </c>
      <c r="BP36" s="149">
        <v>0</v>
      </c>
      <c r="BQ36" s="149">
        <v>0</v>
      </c>
      <c r="BR36" s="149">
        <v>0</v>
      </c>
      <c r="BS36" s="149">
        <v>0</v>
      </c>
      <c r="BT36" s="149">
        <v>0</v>
      </c>
      <c r="BU36" s="149">
        <v>0</v>
      </c>
      <c r="BV36" s="149">
        <v>0</v>
      </c>
      <c r="BW36" s="149">
        <v>0</v>
      </c>
      <c r="BX36" s="149">
        <v>0</v>
      </c>
      <c r="BY36" s="149">
        <v>0</v>
      </c>
      <c r="BZ36" s="149">
        <v>0</v>
      </c>
    </row>
    <row r="37" spans="1:78">
      <c r="A37" s="149">
        <f t="shared" si="0"/>
        <v>403</v>
      </c>
      <c r="B37" s="154">
        <f t="shared" ref="B37:B44" si="11">B36</f>
        <v>300004</v>
      </c>
      <c r="C37" s="133" t="str">
        <f>VLOOKUP(B37,Multilingual!A:B,2,FALSE)</f>
        <v>튼튼한 가죽 바지</v>
      </c>
      <c r="D37" s="149">
        <v>0</v>
      </c>
      <c r="E37" s="149">
        <v>0</v>
      </c>
      <c r="F37" s="149">
        <f>F36+1</f>
        <v>402</v>
      </c>
      <c r="G37" s="149">
        <v>1</v>
      </c>
      <c r="H37" s="149">
        <v>0</v>
      </c>
      <c r="I37" s="149">
        <v>0</v>
      </c>
      <c r="J37" s="149">
        <v>0</v>
      </c>
      <c r="K37" s="149">
        <v>0</v>
      </c>
      <c r="L37" s="149">
        <v>0</v>
      </c>
      <c r="M37" s="149">
        <v>0</v>
      </c>
      <c r="N37" s="149">
        <v>0</v>
      </c>
      <c r="O37" s="149">
        <v>0</v>
      </c>
      <c r="P37" s="149">
        <v>0</v>
      </c>
      <c r="Q37" s="149">
        <v>0</v>
      </c>
      <c r="R37" s="149">
        <v>0</v>
      </c>
      <c r="S37" s="135">
        <f t="shared" ref="S37:S44" si="12">S36+1</f>
        <v>510303</v>
      </c>
      <c r="T37" s="149">
        <v>0</v>
      </c>
      <c r="U37" s="149">
        <v>0</v>
      </c>
      <c r="V37" s="149">
        <v>0</v>
      </c>
      <c r="W37" s="149">
        <v>0</v>
      </c>
      <c r="X37" s="149">
        <v>1</v>
      </c>
      <c r="Y37" s="149">
        <v>0</v>
      </c>
      <c r="Z37" s="149">
        <v>0</v>
      </c>
      <c r="AA37" s="149">
        <v>0</v>
      </c>
      <c r="AB37" s="149">
        <v>0</v>
      </c>
      <c r="AC37" s="149">
        <f t="shared" ref="AC37:AC44" si="13">AC36+150</f>
        <v>1300</v>
      </c>
      <c r="AD37" s="149">
        <v>0</v>
      </c>
      <c r="AE37" s="149">
        <v>0</v>
      </c>
      <c r="AF37" s="149">
        <v>0</v>
      </c>
      <c r="AG37" s="149">
        <v>0</v>
      </c>
      <c r="AH37" s="149">
        <v>0</v>
      </c>
      <c r="AI37" s="149">
        <v>0</v>
      </c>
      <c r="AJ37" s="149">
        <v>0</v>
      </c>
      <c r="AK37" s="149">
        <v>0</v>
      </c>
      <c r="AL37" s="149">
        <v>0</v>
      </c>
      <c r="AM37" s="149">
        <v>0</v>
      </c>
      <c r="AN37" s="149">
        <v>0</v>
      </c>
      <c r="AO37" s="149">
        <v>0</v>
      </c>
      <c r="AP37" s="149">
        <v>0</v>
      </c>
      <c r="AQ37" s="149">
        <v>0</v>
      </c>
      <c r="AR37" s="149">
        <v>0</v>
      </c>
      <c r="AS37" s="149">
        <v>0</v>
      </c>
      <c r="AT37" s="149">
        <v>0</v>
      </c>
      <c r="AU37" s="149">
        <v>0</v>
      </c>
      <c r="AV37" s="149">
        <v>0</v>
      </c>
      <c r="AW37" s="149">
        <v>0</v>
      </c>
      <c r="AX37" s="149">
        <v>0</v>
      </c>
      <c r="AY37" s="149">
        <v>0</v>
      </c>
      <c r="AZ37" s="149">
        <v>0</v>
      </c>
      <c r="BA37" s="149">
        <v>0</v>
      </c>
      <c r="BB37" s="149">
        <v>0</v>
      </c>
      <c r="BC37" s="149">
        <v>0</v>
      </c>
      <c r="BD37" s="149">
        <v>0</v>
      </c>
      <c r="BE37" s="149">
        <v>0</v>
      </c>
      <c r="BF37" s="149">
        <v>0</v>
      </c>
      <c r="BG37" s="149">
        <v>0</v>
      </c>
      <c r="BH37" s="149">
        <v>0</v>
      </c>
      <c r="BI37" s="149">
        <v>0</v>
      </c>
      <c r="BJ37" s="149">
        <v>0</v>
      </c>
      <c r="BK37" s="149">
        <v>0</v>
      </c>
      <c r="BL37" s="149">
        <v>0</v>
      </c>
      <c r="BM37" s="149">
        <v>0</v>
      </c>
      <c r="BN37" s="149">
        <v>0</v>
      </c>
      <c r="BO37" s="149">
        <v>0</v>
      </c>
      <c r="BP37" s="149">
        <v>0</v>
      </c>
      <c r="BQ37" s="149">
        <v>0</v>
      </c>
      <c r="BR37" s="149">
        <v>0</v>
      </c>
      <c r="BS37" s="149">
        <v>0</v>
      </c>
      <c r="BT37" s="149">
        <v>0</v>
      </c>
      <c r="BU37" s="149">
        <v>0</v>
      </c>
      <c r="BV37" s="149">
        <v>0</v>
      </c>
      <c r="BW37" s="149">
        <v>0</v>
      </c>
      <c r="BX37" s="149">
        <v>0</v>
      </c>
      <c r="BY37" s="149">
        <v>0</v>
      </c>
      <c r="BZ37" s="149">
        <v>0</v>
      </c>
    </row>
    <row r="38" spans="1:78">
      <c r="A38" s="149">
        <f t="shared" si="0"/>
        <v>404</v>
      </c>
      <c r="B38" s="154">
        <f t="shared" si="11"/>
        <v>300004</v>
      </c>
      <c r="C38" s="133" t="str">
        <f>VLOOKUP(B38,Multilingual!A:B,2,FALSE)</f>
        <v>튼튼한 가죽 바지</v>
      </c>
      <c r="D38" s="149">
        <v>0</v>
      </c>
      <c r="E38" s="149">
        <v>0</v>
      </c>
      <c r="F38" s="149">
        <f t="shared" ref="F38:F44" si="14">F37+1</f>
        <v>403</v>
      </c>
      <c r="G38" s="149">
        <v>1</v>
      </c>
      <c r="H38" s="149">
        <v>0</v>
      </c>
      <c r="I38" s="149">
        <v>0</v>
      </c>
      <c r="J38" s="149">
        <v>0</v>
      </c>
      <c r="K38" s="149">
        <v>0</v>
      </c>
      <c r="L38" s="149">
        <v>0</v>
      </c>
      <c r="M38" s="149">
        <v>0</v>
      </c>
      <c r="N38" s="149">
        <v>0</v>
      </c>
      <c r="O38" s="149">
        <v>0</v>
      </c>
      <c r="P38" s="149">
        <v>0</v>
      </c>
      <c r="Q38" s="149">
        <v>0</v>
      </c>
      <c r="R38" s="149">
        <v>0</v>
      </c>
      <c r="S38" s="135">
        <f t="shared" si="12"/>
        <v>510304</v>
      </c>
      <c r="T38" s="149">
        <v>0</v>
      </c>
      <c r="U38" s="149">
        <v>0</v>
      </c>
      <c r="V38" s="149">
        <v>0</v>
      </c>
      <c r="W38" s="149">
        <v>0</v>
      </c>
      <c r="X38" s="149">
        <v>1</v>
      </c>
      <c r="Y38" s="149">
        <v>0</v>
      </c>
      <c r="Z38" s="149">
        <v>0</v>
      </c>
      <c r="AA38" s="149">
        <v>0</v>
      </c>
      <c r="AB38" s="149">
        <v>0</v>
      </c>
      <c r="AC38" s="149">
        <f t="shared" si="13"/>
        <v>1450</v>
      </c>
      <c r="AD38" s="149">
        <v>0</v>
      </c>
      <c r="AE38" s="149">
        <v>0</v>
      </c>
      <c r="AF38" s="149">
        <v>0</v>
      </c>
      <c r="AG38" s="149">
        <v>0</v>
      </c>
      <c r="AH38" s="149">
        <v>0</v>
      </c>
      <c r="AI38" s="149">
        <v>0</v>
      </c>
      <c r="AJ38" s="149">
        <v>0</v>
      </c>
      <c r="AK38" s="149">
        <v>0</v>
      </c>
      <c r="AL38" s="149">
        <v>0</v>
      </c>
      <c r="AM38" s="149">
        <v>0</v>
      </c>
      <c r="AN38" s="149">
        <v>0</v>
      </c>
      <c r="AO38" s="149">
        <v>0</v>
      </c>
      <c r="AP38" s="149">
        <v>0</v>
      </c>
      <c r="AQ38" s="149">
        <v>0</v>
      </c>
      <c r="AR38" s="149">
        <v>0</v>
      </c>
      <c r="AS38" s="149">
        <v>0</v>
      </c>
      <c r="AT38" s="149">
        <v>0</v>
      </c>
      <c r="AU38" s="149">
        <v>0</v>
      </c>
      <c r="AV38" s="149">
        <v>0</v>
      </c>
      <c r="AW38" s="149">
        <v>0</v>
      </c>
      <c r="AX38" s="149">
        <v>0</v>
      </c>
      <c r="AY38" s="149">
        <v>0</v>
      </c>
      <c r="AZ38" s="149">
        <v>0</v>
      </c>
      <c r="BA38" s="149">
        <v>0</v>
      </c>
      <c r="BB38" s="149">
        <v>0</v>
      </c>
      <c r="BC38" s="149">
        <v>0</v>
      </c>
      <c r="BD38" s="149">
        <v>0</v>
      </c>
      <c r="BE38" s="149">
        <v>0</v>
      </c>
      <c r="BF38" s="149">
        <v>0</v>
      </c>
      <c r="BG38" s="149">
        <v>0</v>
      </c>
      <c r="BH38" s="149">
        <v>0</v>
      </c>
      <c r="BI38" s="149">
        <v>0</v>
      </c>
      <c r="BJ38" s="149">
        <v>0</v>
      </c>
      <c r="BK38" s="149">
        <v>0</v>
      </c>
      <c r="BL38" s="149">
        <v>0</v>
      </c>
      <c r="BM38" s="149">
        <v>0</v>
      </c>
      <c r="BN38" s="149">
        <v>0</v>
      </c>
      <c r="BO38" s="149">
        <v>0</v>
      </c>
      <c r="BP38" s="149">
        <v>0</v>
      </c>
      <c r="BQ38" s="149">
        <v>0</v>
      </c>
      <c r="BR38" s="149">
        <v>0</v>
      </c>
      <c r="BS38" s="149">
        <v>0</v>
      </c>
      <c r="BT38" s="149">
        <v>0</v>
      </c>
      <c r="BU38" s="149">
        <v>0</v>
      </c>
      <c r="BV38" s="149">
        <v>0</v>
      </c>
      <c r="BW38" s="149">
        <v>0</v>
      </c>
      <c r="BX38" s="149">
        <v>0</v>
      </c>
      <c r="BY38" s="149">
        <v>0</v>
      </c>
      <c r="BZ38" s="149">
        <v>0</v>
      </c>
    </row>
    <row r="39" spans="1:78">
      <c r="A39" s="149">
        <f t="shared" si="0"/>
        <v>405</v>
      </c>
      <c r="B39" s="154">
        <f t="shared" si="11"/>
        <v>300004</v>
      </c>
      <c r="C39" s="133" t="str">
        <f>VLOOKUP(B39,Multilingual!A:B,2,FALSE)</f>
        <v>튼튼한 가죽 바지</v>
      </c>
      <c r="D39" s="149">
        <v>0</v>
      </c>
      <c r="E39" s="149">
        <v>0</v>
      </c>
      <c r="F39" s="149">
        <f t="shared" si="14"/>
        <v>404</v>
      </c>
      <c r="G39" s="149">
        <v>1</v>
      </c>
      <c r="H39" s="149">
        <v>0</v>
      </c>
      <c r="I39" s="149">
        <v>0</v>
      </c>
      <c r="J39" s="149">
        <v>0</v>
      </c>
      <c r="K39" s="149">
        <v>0</v>
      </c>
      <c r="L39" s="149">
        <v>0</v>
      </c>
      <c r="M39" s="149">
        <v>0</v>
      </c>
      <c r="N39" s="149">
        <v>0</v>
      </c>
      <c r="O39" s="149">
        <v>0</v>
      </c>
      <c r="P39" s="149">
        <v>0</v>
      </c>
      <c r="Q39" s="149">
        <v>0</v>
      </c>
      <c r="R39" s="149">
        <v>0</v>
      </c>
      <c r="S39" s="135">
        <f t="shared" si="12"/>
        <v>510305</v>
      </c>
      <c r="T39" s="149">
        <v>0</v>
      </c>
      <c r="U39" s="149">
        <v>0</v>
      </c>
      <c r="V39" s="149">
        <v>0</v>
      </c>
      <c r="W39" s="149">
        <v>0</v>
      </c>
      <c r="X39" s="149">
        <v>1</v>
      </c>
      <c r="Y39" s="149">
        <v>0</v>
      </c>
      <c r="Z39" s="149">
        <v>0</v>
      </c>
      <c r="AA39" s="149">
        <v>0</v>
      </c>
      <c r="AB39" s="149">
        <v>0</v>
      </c>
      <c r="AC39" s="149">
        <f t="shared" si="13"/>
        <v>1600</v>
      </c>
      <c r="AD39" s="149">
        <v>0</v>
      </c>
      <c r="AE39" s="149">
        <v>0</v>
      </c>
      <c r="AF39" s="149">
        <v>0</v>
      </c>
      <c r="AG39" s="149">
        <v>0</v>
      </c>
      <c r="AH39" s="149">
        <v>0</v>
      </c>
      <c r="AI39" s="149">
        <v>0</v>
      </c>
      <c r="AJ39" s="149">
        <v>0</v>
      </c>
      <c r="AK39" s="149">
        <v>0</v>
      </c>
      <c r="AL39" s="149">
        <v>0</v>
      </c>
      <c r="AM39" s="149">
        <v>0</v>
      </c>
      <c r="AN39" s="149">
        <v>0</v>
      </c>
      <c r="AO39" s="149">
        <v>0</v>
      </c>
      <c r="AP39" s="149">
        <v>0</v>
      </c>
      <c r="AQ39" s="149">
        <v>0</v>
      </c>
      <c r="AR39" s="149">
        <v>0</v>
      </c>
      <c r="AS39" s="149">
        <v>0</v>
      </c>
      <c r="AT39" s="149">
        <v>0</v>
      </c>
      <c r="AU39" s="149">
        <v>0</v>
      </c>
      <c r="AV39" s="149">
        <v>0</v>
      </c>
      <c r="AW39" s="149">
        <v>0</v>
      </c>
      <c r="AX39" s="149">
        <v>0</v>
      </c>
      <c r="AY39" s="149">
        <v>0</v>
      </c>
      <c r="AZ39" s="149">
        <v>0</v>
      </c>
      <c r="BA39" s="149">
        <v>0</v>
      </c>
      <c r="BB39" s="149">
        <v>0</v>
      </c>
      <c r="BC39" s="149">
        <v>0</v>
      </c>
      <c r="BD39" s="149">
        <v>0</v>
      </c>
      <c r="BE39" s="149">
        <v>0</v>
      </c>
      <c r="BF39" s="149">
        <v>0</v>
      </c>
      <c r="BG39" s="149">
        <v>0</v>
      </c>
      <c r="BH39" s="149">
        <v>0</v>
      </c>
      <c r="BI39" s="149">
        <v>0</v>
      </c>
      <c r="BJ39" s="149">
        <v>0</v>
      </c>
      <c r="BK39" s="149">
        <v>0</v>
      </c>
      <c r="BL39" s="149">
        <v>0</v>
      </c>
      <c r="BM39" s="149">
        <v>0</v>
      </c>
      <c r="BN39" s="149">
        <v>0</v>
      </c>
      <c r="BO39" s="149">
        <v>0</v>
      </c>
      <c r="BP39" s="149">
        <v>0</v>
      </c>
      <c r="BQ39" s="149">
        <v>0</v>
      </c>
      <c r="BR39" s="149">
        <v>0</v>
      </c>
      <c r="BS39" s="149">
        <v>0</v>
      </c>
      <c r="BT39" s="149">
        <v>0</v>
      </c>
      <c r="BU39" s="149">
        <v>0</v>
      </c>
      <c r="BV39" s="149">
        <v>0</v>
      </c>
      <c r="BW39" s="149">
        <v>0</v>
      </c>
      <c r="BX39" s="149">
        <v>0</v>
      </c>
      <c r="BY39" s="149">
        <v>0</v>
      </c>
      <c r="BZ39" s="149">
        <v>0</v>
      </c>
    </row>
    <row r="40" spans="1:78">
      <c r="A40" s="149">
        <f t="shared" si="0"/>
        <v>406</v>
      </c>
      <c r="B40" s="154">
        <f t="shared" si="11"/>
        <v>300004</v>
      </c>
      <c r="C40" s="133" t="str">
        <f>VLOOKUP(B40,Multilingual!A:B,2,FALSE)</f>
        <v>튼튼한 가죽 바지</v>
      </c>
      <c r="D40" s="149">
        <v>0</v>
      </c>
      <c r="E40" s="149">
        <v>0</v>
      </c>
      <c r="F40" s="149">
        <f t="shared" si="14"/>
        <v>405</v>
      </c>
      <c r="G40" s="149">
        <v>1</v>
      </c>
      <c r="H40" s="149">
        <v>0</v>
      </c>
      <c r="I40" s="149">
        <v>0</v>
      </c>
      <c r="J40" s="149">
        <v>0</v>
      </c>
      <c r="K40" s="149">
        <v>0</v>
      </c>
      <c r="L40" s="149">
        <v>0</v>
      </c>
      <c r="M40" s="149">
        <v>0</v>
      </c>
      <c r="N40" s="149">
        <v>0</v>
      </c>
      <c r="O40" s="149">
        <v>0</v>
      </c>
      <c r="P40" s="149">
        <v>0</v>
      </c>
      <c r="Q40" s="149">
        <v>0</v>
      </c>
      <c r="R40" s="149">
        <v>0</v>
      </c>
      <c r="S40" s="135">
        <f t="shared" si="12"/>
        <v>510306</v>
      </c>
      <c r="T40" s="149">
        <v>0</v>
      </c>
      <c r="U40" s="149">
        <v>0</v>
      </c>
      <c r="V40" s="149">
        <v>0</v>
      </c>
      <c r="W40" s="149">
        <v>0</v>
      </c>
      <c r="X40" s="149">
        <v>1</v>
      </c>
      <c r="Y40" s="149">
        <v>0</v>
      </c>
      <c r="Z40" s="149">
        <v>0</v>
      </c>
      <c r="AA40" s="149">
        <v>0</v>
      </c>
      <c r="AB40" s="149">
        <v>0</v>
      </c>
      <c r="AC40" s="149">
        <f t="shared" si="13"/>
        <v>1750</v>
      </c>
      <c r="AD40" s="149">
        <v>0</v>
      </c>
      <c r="AE40" s="149">
        <v>0</v>
      </c>
      <c r="AF40" s="149">
        <v>0</v>
      </c>
      <c r="AG40" s="149">
        <v>0</v>
      </c>
      <c r="AH40" s="149">
        <v>0</v>
      </c>
      <c r="AI40" s="149">
        <v>0</v>
      </c>
      <c r="AJ40" s="149">
        <v>0</v>
      </c>
      <c r="AK40" s="149">
        <v>0</v>
      </c>
      <c r="AL40" s="149">
        <v>0</v>
      </c>
      <c r="AM40" s="149">
        <v>0</v>
      </c>
      <c r="AN40" s="149">
        <v>0</v>
      </c>
      <c r="AO40" s="149">
        <v>0</v>
      </c>
      <c r="AP40" s="149">
        <v>0</v>
      </c>
      <c r="AQ40" s="149">
        <v>0</v>
      </c>
      <c r="AR40" s="149">
        <v>0</v>
      </c>
      <c r="AS40" s="149">
        <v>0</v>
      </c>
      <c r="AT40" s="149">
        <v>0</v>
      </c>
      <c r="AU40" s="149">
        <v>0</v>
      </c>
      <c r="AV40" s="149">
        <v>0</v>
      </c>
      <c r="AW40" s="149">
        <v>0</v>
      </c>
      <c r="AX40" s="149">
        <v>0</v>
      </c>
      <c r="AY40" s="149">
        <v>0</v>
      </c>
      <c r="AZ40" s="149">
        <v>0</v>
      </c>
      <c r="BA40" s="149">
        <v>0</v>
      </c>
      <c r="BB40" s="149">
        <v>0</v>
      </c>
      <c r="BC40" s="149">
        <v>0</v>
      </c>
      <c r="BD40" s="149">
        <v>0</v>
      </c>
      <c r="BE40" s="149">
        <v>0</v>
      </c>
      <c r="BF40" s="149">
        <v>0</v>
      </c>
      <c r="BG40" s="149">
        <v>0</v>
      </c>
      <c r="BH40" s="149">
        <v>0</v>
      </c>
      <c r="BI40" s="149">
        <v>0</v>
      </c>
      <c r="BJ40" s="149">
        <v>0</v>
      </c>
      <c r="BK40" s="149">
        <v>0</v>
      </c>
      <c r="BL40" s="149">
        <v>0</v>
      </c>
      <c r="BM40" s="149">
        <v>0</v>
      </c>
      <c r="BN40" s="149">
        <v>0</v>
      </c>
      <c r="BO40" s="149">
        <v>0</v>
      </c>
      <c r="BP40" s="149">
        <v>0</v>
      </c>
      <c r="BQ40" s="149">
        <v>0</v>
      </c>
      <c r="BR40" s="149">
        <v>0</v>
      </c>
      <c r="BS40" s="149">
        <v>0</v>
      </c>
      <c r="BT40" s="149">
        <v>0</v>
      </c>
      <c r="BU40" s="149">
        <v>0</v>
      </c>
      <c r="BV40" s="149">
        <v>0</v>
      </c>
      <c r="BW40" s="149">
        <v>0</v>
      </c>
      <c r="BX40" s="149">
        <v>0</v>
      </c>
      <c r="BY40" s="149">
        <v>0</v>
      </c>
      <c r="BZ40" s="149">
        <v>0</v>
      </c>
    </row>
    <row r="41" spans="1:78">
      <c r="A41" s="149">
        <f t="shared" si="0"/>
        <v>407</v>
      </c>
      <c r="B41" s="154">
        <f t="shared" si="11"/>
        <v>300004</v>
      </c>
      <c r="C41" s="133" t="str">
        <f>VLOOKUP(B41,Multilingual!A:B,2,FALSE)</f>
        <v>튼튼한 가죽 바지</v>
      </c>
      <c r="D41" s="149">
        <v>0</v>
      </c>
      <c r="E41" s="149">
        <v>0</v>
      </c>
      <c r="F41" s="149">
        <f t="shared" si="14"/>
        <v>406</v>
      </c>
      <c r="G41" s="149">
        <v>1</v>
      </c>
      <c r="H41" s="149">
        <v>0</v>
      </c>
      <c r="I41" s="149">
        <v>0</v>
      </c>
      <c r="J41" s="149">
        <v>0</v>
      </c>
      <c r="K41" s="149">
        <v>0</v>
      </c>
      <c r="L41" s="149">
        <v>0</v>
      </c>
      <c r="M41" s="149">
        <v>0</v>
      </c>
      <c r="N41" s="149">
        <v>0</v>
      </c>
      <c r="O41" s="149">
        <v>0</v>
      </c>
      <c r="P41" s="149">
        <v>0</v>
      </c>
      <c r="Q41" s="149">
        <v>0</v>
      </c>
      <c r="R41" s="149">
        <v>0</v>
      </c>
      <c r="S41" s="135">
        <f t="shared" si="12"/>
        <v>510307</v>
      </c>
      <c r="T41" s="149">
        <v>0</v>
      </c>
      <c r="U41" s="149">
        <v>0</v>
      </c>
      <c r="V41" s="149">
        <v>0</v>
      </c>
      <c r="W41" s="149">
        <v>0</v>
      </c>
      <c r="X41" s="149">
        <v>1</v>
      </c>
      <c r="Y41" s="149">
        <v>0</v>
      </c>
      <c r="Z41" s="149">
        <v>0</v>
      </c>
      <c r="AA41" s="149">
        <v>0</v>
      </c>
      <c r="AB41" s="149">
        <v>0</v>
      </c>
      <c r="AC41" s="149">
        <f t="shared" si="13"/>
        <v>1900</v>
      </c>
      <c r="AD41" s="149">
        <v>0</v>
      </c>
      <c r="AE41" s="149">
        <v>0</v>
      </c>
      <c r="AF41" s="149">
        <v>0</v>
      </c>
      <c r="AG41" s="149">
        <v>0</v>
      </c>
      <c r="AH41" s="149">
        <v>0</v>
      </c>
      <c r="AI41" s="149">
        <v>0</v>
      </c>
      <c r="AJ41" s="149">
        <v>0</v>
      </c>
      <c r="AK41" s="149">
        <v>0</v>
      </c>
      <c r="AL41" s="149">
        <v>0</v>
      </c>
      <c r="AM41" s="149">
        <v>0</v>
      </c>
      <c r="AN41" s="149">
        <v>0</v>
      </c>
      <c r="AO41" s="149">
        <v>0</v>
      </c>
      <c r="AP41" s="149">
        <v>0</v>
      </c>
      <c r="AQ41" s="149">
        <v>0</v>
      </c>
      <c r="AR41" s="149">
        <v>0</v>
      </c>
      <c r="AS41" s="149">
        <v>0</v>
      </c>
      <c r="AT41" s="149">
        <v>0</v>
      </c>
      <c r="AU41" s="149">
        <v>0</v>
      </c>
      <c r="AV41" s="149">
        <v>0</v>
      </c>
      <c r="AW41" s="149">
        <v>0</v>
      </c>
      <c r="AX41" s="149">
        <v>0</v>
      </c>
      <c r="AY41" s="149">
        <v>0</v>
      </c>
      <c r="AZ41" s="149">
        <v>0</v>
      </c>
      <c r="BA41" s="149">
        <v>0</v>
      </c>
      <c r="BB41" s="149">
        <v>0</v>
      </c>
      <c r="BC41" s="149">
        <v>0</v>
      </c>
      <c r="BD41" s="149">
        <v>0</v>
      </c>
      <c r="BE41" s="149">
        <v>0</v>
      </c>
      <c r="BF41" s="149">
        <v>0</v>
      </c>
      <c r="BG41" s="149">
        <v>0</v>
      </c>
      <c r="BH41" s="149">
        <v>0</v>
      </c>
      <c r="BI41" s="149">
        <v>0</v>
      </c>
      <c r="BJ41" s="149">
        <v>0</v>
      </c>
      <c r="BK41" s="149">
        <v>0</v>
      </c>
      <c r="BL41" s="149">
        <v>0</v>
      </c>
      <c r="BM41" s="149">
        <v>0</v>
      </c>
      <c r="BN41" s="149">
        <v>0</v>
      </c>
      <c r="BO41" s="149">
        <v>0</v>
      </c>
      <c r="BP41" s="149">
        <v>0</v>
      </c>
      <c r="BQ41" s="149">
        <v>0</v>
      </c>
      <c r="BR41" s="149">
        <v>0</v>
      </c>
      <c r="BS41" s="149">
        <v>0</v>
      </c>
      <c r="BT41" s="149">
        <v>0</v>
      </c>
      <c r="BU41" s="149">
        <v>0</v>
      </c>
      <c r="BV41" s="149">
        <v>0</v>
      </c>
      <c r="BW41" s="149">
        <v>0</v>
      </c>
      <c r="BX41" s="149">
        <v>0</v>
      </c>
      <c r="BY41" s="149">
        <v>0</v>
      </c>
      <c r="BZ41" s="149">
        <v>0</v>
      </c>
    </row>
    <row r="42" spans="1:78">
      <c r="A42" s="149">
        <f t="shared" si="0"/>
        <v>408</v>
      </c>
      <c r="B42" s="154">
        <f t="shared" si="11"/>
        <v>300004</v>
      </c>
      <c r="C42" s="133" t="str">
        <f>VLOOKUP(B42,Multilingual!A:B,2,FALSE)</f>
        <v>튼튼한 가죽 바지</v>
      </c>
      <c r="D42" s="149">
        <v>0</v>
      </c>
      <c r="E42" s="149">
        <v>0</v>
      </c>
      <c r="F42" s="149">
        <f t="shared" si="14"/>
        <v>407</v>
      </c>
      <c r="G42" s="149">
        <v>1</v>
      </c>
      <c r="H42" s="149">
        <v>0</v>
      </c>
      <c r="I42" s="149">
        <v>0</v>
      </c>
      <c r="J42" s="149">
        <v>0</v>
      </c>
      <c r="K42" s="149">
        <v>0</v>
      </c>
      <c r="L42" s="149">
        <v>0</v>
      </c>
      <c r="M42" s="149">
        <v>0</v>
      </c>
      <c r="N42" s="149">
        <v>0</v>
      </c>
      <c r="O42" s="149">
        <v>0</v>
      </c>
      <c r="P42" s="149">
        <v>0</v>
      </c>
      <c r="Q42" s="149">
        <v>0</v>
      </c>
      <c r="R42" s="149">
        <v>0</v>
      </c>
      <c r="S42" s="135">
        <f t="shared" si="12"/>
        <v>510308</v>
      </c>
      <c r="T42" s="149">
        <v>0</v>
      </c>
      <c r="U42" s="149">
        <v>0</v>
      </c>
      <c r="V42" s="149">
        <v>0</v>
      </c>
      <c r="W42" s="149">
        <v>0</v>
      </c>
      <c r="X42" s="149">
        <v>1</v>
      </c>
      <c r="Y42" s="149">
        <v>0</v>
      </c>
      <c r="Z42" s="149">
        <v>0</v>
      </c>
      <c r="AA42" s="149">
        <v>0</v>
      </c>
      <c r="AB42" s="149">
        <v>0</v>
      </c>
      <c r="AC42" s="149">
        <f t="shared" si="13"/>
        <v>2050</v>
      </c>
      <c r="AD42" s="149">
        <v>0</v>
      </c>
      <c r="AE42" s="149">
        <v>0</v>
      </c>
      <c r="AF42" s="149">
        <v>0</v>
      </c>
      <c r="AG42" s="149">
        <v>0</v>
      </c>
      <c r="AH42" s="149">
        <v>0</v>
      </c>
      <c r="AI42" s="149">
        <v>0</v>
      </c>
      <c r="AJ42" s="149">
        <v>0</v>
      </c>
      <c r="AK42" s="149">
        <v>0</v>
      </c>
      <c r="AL42" s="149">
        <v>0</v>
      </c>
      <c r="AM42" s="149">
        <v>0</v>
      </c>
      <c r="AN42" s="149">
        <v>0</v>
      </c>
      <c r="AO42" s="149">
        <v>0</v>
      </c>
      <c r="AP42" s="149">
        <v>0</v>
      </c>
      <c r="AQ42" s="149">
        <v>0</v>
      </c>
      <c r="AR42" s="149">
        <v>0</v>
      </c>
      <c r="AS42" s="149">
        <v>0</v>
      </c>
      <c r="AT42" s="149">
        <v>0</v>
      </c>
      <c r="AU42" s="149">
        <v>0</v>
      </c>
      <c r="AV42" s="149">
        <v>0</v>
      </c>
      <c r="AW42" s="149">
        <v>0</v>
      </c>
      <c r="AX42" s="149">
        <v>0</v>
      </c>
      <c r="AY42" s="149">
        <v>0</v>
      </c>
      <c r="AZ42" s="149">
        <v>0</v>
      </c>
      <c r="BA42" s="149">
        <v>0</v>
      </c>
      <c r="BB42" s="149">
        <v>0</v>
      </c>
      <c r="BC42" s="149">
        <v>0</v>
      </c>
      <c r="BD42" s="149">
        <v>0</v>
      </c>
      <c r="BE42" s="149">
        <v>0</v>
      </c>
      <c r="BF42" s="149">
        <v>0</v>
      </c>
      <c r="BG42" s="149">
        <v>0</v>
      </c>
      <c r="BH42" s="149">
        <v>0</v>
      </c>
      <c r="BI42" s="149">
        <v>0</v>
      </c>
      <c r="BJ42" s="149">
        <v>0</v>
      </c>
      <c r="BK42" s="149">
        <v>0</v>
      </c>
      <c r="BL42" s="149">
        <v>0</v>
      </c>
      <c r="BM42" s="149">
        <v>0</v>
      </c>
      <c r="BN42" s="149">
        <v>0</v>
      </c>
      <c r="BO42" s="149">
        <v>0</v>
      </c>
      <c r="BP42" s="149">
        <v>0</v>
      </c>
      <c r="BQ42" s="149">
        <v>0</v>
      </c>
      <c r="BR42" s="149">
        <v>0</v>
      </c>
      <c r="BS42" s="149">
        <v>0</v>
      </c>
      <c r="BT42" s="149">
        <v>0</v>
      </c>
      <c r="BU42" s="149">
        <v>0</v>
      </c>
      <c r="BV42" s="149">
        <v>0</v>
      </c>
      <c r="BW42" s="149">
        <v>0</v>
      </c>
      <c r="BX42" s="149">
        <v>0</v>
      </c>
      <c r="BY42" s="149">
        <v>0</v>
      </c>
      <c r="BZ42" s="149">
        <v>0</v>
      </c>
    </row>
    <row r="43" spans="1:78">
      <c r="A43" s="149">
        <f t="shared" si="0"/>
        <v>409</v>
      </c>
      <c r="B43" s="154">
        <f t="shared" si="11"/>
        <v>300004</v>
      </c>
      <c r="C43" s="133" t="str">
        <f>VLOOKUP(B43,Multilingual!A:B,2,FALSE)</f>
        <v>튼튼한 가죽 바지</v>
      </c>
      <c r="D43" s="149">
        <v>0</v>
      </c>
      <c r="E43" s="149">
        <v>0</v>
      </c>
      <c r="F43" s="149">
        <f t="shared" si="14"/>
        <v>408</v>
      </c>
      <c r="G43" s="149">
        <v>1</v>
      </c>
      <c r="H43" s="149">
        <v>0</v>
      </c>
      <c r="I43" s="149">
        <v>0</v>
      </c>
      <c r="J43" s="149">
        <v>0</v>
      </c>
      <c r="K43" s="149">
        <v>0</v>
      </c>
      <c r="L43" s="149">
        <v>0</v>
      </c>
      <c r="M43" s="149">
        <v>0</v>
      </c>
      <c r="N43" s="149">
        <v>0</v>
      </c>
      <c r="O43" s="149">
        <v>0</v>
      </c>
      <c r="P43" s="149">
        <v>0</v>
      </c>
      <c r="Q43" s="149">
        <v>0</v>
      </c>
      <c r="R43" s="149">
        <v>0</v>
      </c>
      <c r="S43" s="135">
        <f t="shared" si="12"/>
        <v>510309</v>
      </c>
      <c r="T43" s="149">
        <v>0</v>
      </c>
      <c r="U43" s="149">
        <v>0</v>
      </c>
      <c r="V43" s="149">
        <v>0</v>
      </c>
      <c r="W43" s="149">
        <v>0</v>
      </c>
      <c r="X43" s="149">
        <v>1</v>
      </c>
      <c r="Y43" s="149">
        <v>0</v>
      </c>
      <c r="Z43" s="149">
        <v>0</v>
      </c>
      <c r="AA43" s="149">
        <v>0</v>
      </c>
      <c r="AB43" s="149">
        <v>0</v>
      </c>
      <c r="AC43" s="149">
        <f t="shared" si="13"/>
        <v>2200</v>
      </c>
      <c r="AD43" s="149">
        <v>0</v>
      </c>
      <c r="AE43" s="149">
        <v>0</v>
      </c>
      <c r="AF43" s="149">
        <v>0</v>
      </c>
      <c r="AG43" s="149">
        <v>0</v>
      </c>
      <c r="AH43" s="149">
        <v>0</v>
      </c>
      <c r="AI43" s="149">
        <v>0</v>
      </c>
      <c r="AJ43" s="149">
        <v>0</v>
      </c>
      <c r="AK43" s="149">
        <v>0</v>
      </c>
      <c r="AL43" s="149">
        <v>0</v>
      </c>
      <c r="AM43" s="149">
        <v>0</v>
      </c>
      <c r="AN43" s="149">
        <v>0</v>
      </c>
      <c r="AO43" s="149">
        <v>0</v>
      </c>
      <c r="AP43" s="149">
        <v>0</v>
      </c>
      <c r="AQ43" s="149">
        <v>0</v>
      </c>
      <c r="AR43" s="149">
        <v>0</v>
      </c>
      <c r="AS43" s="149">
        <v>0</v>
      </c>
      <c r="AT43" s="149">
        <v>0</v>
      </c>
      <c r="AU43" s="149">
        <v>0</v>
      </c>
      <c r="AV43" s="149">
        <v>0</v>
      </c>
      <c r="AW43" s="149">
        <v>0</v>
      </c>
      <c r="AX43" s="149">
        <v>0</v>
      </c>
      <c r="AY43" s="149">
        <v>0</v>
      </c>
      <c r="AZ43" s="149">
        <v>0</v>
      </c>
      <c r="BA43" s="149">
        <v>0</v>
      </c>
      <c r="BB43" s="149">
        <v>0</v>
      </c>
      <c r="BC43" s="149">
        <v>0</v>
      </c>
      <c r="BD43" s="149">
        <v>0</v>
      </c>
      <c r="BE43" s="149">
        <v>0</v>
      </c>
      <c r="BF43" s="149">
        <v>0</v>
      </c>
      <c r="BG43" s="149">
        <v>0</v>
      </c>
      <c r="BH43" s="149">
        <v>0</v>
      </c>
      <c r="BI43" s="149">
        <v>0</v>
      </c>
      <c r="BJ43" s="149">
        <v>0</v>
      </c>
      <c r="BK43" s="149">
        <v>0</v>
      </c>
      <c r="BL43" s="149">
        <v>0</v>
      </c>
      <c r="BM43" s="149">
        <v>0</v>
      </c>
      <c r="BN43" s="149">
        <v>0</v>
      </c>
      <c r="BO43" s="149">
        <v>0</v>
      </c>
      <c r="BP43" s="149">
        <v>0</v>
      </c>
      <c r="BQ43" s="149">
        <v>0</v>
      </c>
      <c r="BR43" s="149">
        <v>0</v>
      </c>
      <c r="BS43" s="149">
        <v>0</v>
      </c>
      <c r="BT43" s="149">
        <v>0</v>
      </c>
      <c r="BU43" s="149">
        <v>0</v>
      </c>
      <c r="BV43" s="149">
        <v>0</v>
      </c>
      <c r="BW43" s="149">
        <v>0</v>
      </c>
      <c r="BX43" s="149">
        <v>0</v>
      </c>
      <c r="BY43" s="149">
        <v>0</v>
      </c>
      <c r="BZ43" s="149">
        <v>0</v>
      </c>
    </row>
    <row r="44" spans="1:78">
      <c r="A44" s="149">
        <f t="shared" si="0"/>
        <v>410</v>
      </c>
      <c r="B44" s="154">
        <f t="shared" si="11"/>
        <v>300004</v>
      </c>
      <c r="C44" s="133" t="str">
        <f>VLOOKUP(B44,Multilingual!A:B,2,FALSE)</f>
        <v>튼튼한 가죽 바지</v>
      </c>
      <c r="D44" s="149">
        <v>0</v>
      </c>
      <c r="E44" s="149">
        <v>0</v>
      </c>
      <c r="F44" s="149">
        <f t="shared" si="14"/>
        <v>409</v>
      </c>
      <c r="G44" s="149">
        <v>1</v>
      </c>
      <c r="H44" s="149">
        <v>0</v>
      </c>
      <c r="I44" s="149">
        <v>0</v>
      </c>
      <c r="J44" s="149">
        <v>0</v>
      </c>
      <c r="K44" s="149">
        <v>0</v>
      </c>
      <c r="L44" s="149">
        <v>0</v>
      </c>
      <c r="M44" s="149">
        <v>0</v>
      </c>
      <c r="N44" s="149">
        <v>0</v>
      </c>
      <c r="O44" s="149">
        <v>0</v>
      </c>
      <c r="P44" s="149">
        <v>0</v>
      </c>
      <c r="Q44" s="149">
        <v>0</v>
      </c>
      <c r="R44" s="149">
        <v>0</v>
      </c>
      <c r="S44" s="135">
        <f t="shared" si="12"/>
        <v>510310</v>
      </c>
      <c r="T44" s="149">
        <v>0</v>
      </c>
      <c r="U44" s="149">
        <v>0</v>
      </c>
      <c r="V44" s="149">
        <v>0</v>
      </c>
      <c r="W44" s="149">
        <v>0</v>
      </c>
      <c r="X44" s="149">
        <v>1</v>
      </c>
      <c r="Y44" s="149">
        <v>0</v>
      </c>
      <c r="Z44" s="149">
        <v>0</v>
      </c>
      <c r="AA44" s="149">
        <v>0</v>
      </c>
      <c r="AB44" s="149">
        <v>0</v>
      </c>
      <c r="AC44" s="149">
        <f t="shared" si="13"/>
        <v>2350</v>
      </c>
      <c r="AD44" s="149">
        <v>0</v>
      </c>
      <c r="AE44" s="149">
        <v>0</v>
      </c>
      <c r="AF44" s="149">
        <v>0</v>
      </c>
      <c r="AG44" s="149">
        <v>0</v>
      </c>
      <c r="AH44" s="149">
        <v>0</v>
      </c>
      <c r="AI44" s="149">
        <v>0</v>
      </c>
      <c r="AJ44" s="149">
        <v>0</v>
      </c>
      <c r="AK44" s="149">
        <v>0</v>
      </c>
      <c r="AL44" s="149">
        <v>0</v>
      </c>
      <c r="AM44" s="149">
        <v>0</v>
      </c>
      <c r="AN44" s="149">
        <v>0</v>
      </c>
      <c r="AO44" s="149">
        <v>0</v>
      </c>
      <c r="AP44" s="149">
        <v>0</v>
      </c>
      <c r="AQ44" s="149">
        <v>0</v>
      </c>
      <c r="AR44" s="149">
        <v>0</v>
      </c>
      <c r="AS44" s="149">
        <v>0</v>
      </c>
      <c r="AT44" s="149">
        <v>0</v>
      </c>
      <c r="AU44" s="149">
        <v>0</v>
      </c>
      <c r="AV44" s="149">
        <v>0</v>
      </c>
      <c r="AW44" s="149">
        <v>0</v>
      </c>
      <c r="AX44" s="149">
        <v>0</v>
      </c>
      <c r="AY44" s="149">
        <v>0</v>
      </c>
      <c r="AZ44" s="149">
        <v>0</v>
      </c>
      <c r="BA44" s="149">
        <v>0</v>
      </c>
      <c r="BB44" s="149">
        <v>0</v>
      </c>
      <c r="BC44" s="149">
        <v>0</v>
      </c>
      <c r="BD44" s="149">
        <v>0</v>
      </c>
      <c r="BE44" s="149">
        <v>0</v>
      </c>
      <c r="BF44" s="149">
        <v>0</v>
      </c>
      <c r="BG44" s="149">
        <v>0</v>
      </c>
      <c r="BH44" s="149">
        <v>0</v>
      </c>
      <c r="BI44" s="149">
        <v>0</v>
      </c>
      <c r="BJ44" s="149">
        <v>0</v>
      </c>
      <c r="BK44" s="149">
        <v>0</v>
      </c>
      <c r="BL44" s="149">
        <v>0</v>
      </c>
      <c r="BM44" s="149">
        <v>0</v>
      </c>
      <c r="BN44" s="149">
        <v>0</v>
      </c>
      <c r="BO44" s="149">
        <v>0</v>
      </c>
      <c r="BP44" s="149">
        <v>0</v>
      </c>
      <c r="BQ44" s="149">
        <v>0</v>
      </c>
      <c r="BR44" s="149">
        <v>0</v>
      </c>
      <c r="BS44" s="149">
        <v>0</v>
      </c>
      <c r="BT44" s="149">
        <v>0</v>
      </c>
      <c r="BU44" s="149">
        <v>0</v>
      </c>
      <c r="BV44" s="149">
        <v>0</v>
      </c>
      <c r="BW44" s="149">
        <v>0</v>
      </c>
      <c r="BX44" s="149">
        <v>0</v>
      </c>
      <c r="BY44" s="149">
        <v>0</v>
      </c>
      <c r="BZ44" s="149">
        <v>0</v>
      </c>
    </row>
    <row r="45" spans="1:78">
      <c r="A45" s="151">
        <v>501</v>
      </c>
      <c r="B45" s="151">
        <f>B35+1</f>
        <v>300005</v>
      </c>
      <c r="C45" s="125" t="str">
        <f>VLOOKUP(B45,Multilingual!A:B,2,FALSE)</f>
        <v>정강이싸개</v>
      </c>
      <c r="D45" s="151">
        <v>0</v>
      </c>
      <c r="E45" s="151">
        <v>0</v>
      </c>
      <c r="F45" s="151">
        <v>0</v>
      </c>
      <c r="G45" s="151">
        <v>1</v>
      </c>
      <c r="H45" s="151">
        <v>0</v>
      </c>
      <c r="I45" s="151">
        <v>0</v>
      </c>
      <c r="J45" s="151">
        <v>0</v>
      </c>
      <c r="K45" s="151">
        <v>0</v>
      </c>
      <c r="L45" s="151">
        <v>0</v>
      </c>
      <c r="M45" s="151">
        <v>0</v>
      </c>
      <c r="N45" s="151">
        <v>0</v>
      </c>
      <c r="O45" s="151">
        <v>0</v>
      </c>
      <c r="P45" s="151">
        <v>0</v>
      </c>
      <c r="Q45" s="151">
        <v>0</v>
      </c>
      <c r="R45" s="151">
        <v>0</v>
      </c>
      <c r="S45" s="151">
        <v>0</v>
      </c>
      <c r="T45" s="151">
        <v>0</v>
      </c>
      <c r="U45" s="151">
        <v>0</v>
      </c>
      <c r="V45" s="151">
        <v>0</v>
      </c>
      <c r="W45" s="151">
        <v>0</v>
      </c>
      <c r="X45" s="151">
        <v>1</v>
      </c>
      <c r="Y45" s="151">
        <v>0</v>
      </c>
      <c r="Z45" s="151">
        <v>0</v>
      </c>
      <c r="AA45" s="151">
        <v>0</v>
      </c>
      <c r="AB45" s="151">
        <v>0</v>
      </c>
      <c r="AC45" s="151">
        <v>0</v>
      </c>
      <c r="AD45" s="151">
        <v>0</v>
      </c>
      <c r="AE45" s="151">
        <v>0</v>
      </c>
      <c r="AF45" s="151">
        <v>0</v>
      </c>
      <c r="AG45" s="151">
        <v>0</v>
      </c>
      <c r="AH45" s="151">
        <v>0</v>
      </c>
      <c r="AI45" s="151">
        <v>0</v>
      </c>
      <c r="AJ45" s="151">
        <v>0</v>
      </c>
      <c r="AK45" s="151">
        <v>0</v>
      </c>
      <c r="AL45" s="151">
        <v>0</v>
      </c>
      <c r="AM45" s="151">
        <v>0</v>
      </c>
      <c r="AN45" s="151">
        <v>0</v>
      </c>
      <c r="AO45" s="151">
        <v>0</v>
      </c>
      <c r="AP45" s="151">
        <v>0</v>
      </c>
      <c r="AQ45" s="151">
        <v>0</v>
      </c>
      <c r="AR45" s="151">
        <v>0</v>
      </c>
      <c r="AS45" s="151">
        <v>0</v>
      </c>
      <c r="AT45" s="151">
        <v>0</v>
      </c>
      <c r="AU45" s="151">
        <v>0</v>
      </c>
      <c r="AV45" s="151">
        <v>0</v>
      </c>
      <c r="AW45" s="151">
        <v>0</v>
      </c>
      <c r="AX45" s="151">
        <v>0</v>
      </c>
      <c r="AY45" s="151">
        <v>0</v>
      </c>
      <c r="AZ45" s="151">
        <v>0</v>
      </c>
      <c r="BA45" s="151">
        <v>0</v>
      </c>
      <c r="BB45" s="151">
        <v>0</v>
      </c>
      <c r="BC45" s="151">
        <v>0</v>
      </c>
      <c r="BD45" s="151">
        <v>0</v>
      </c>
      <c r="BE45" s="151">
        <v>0</v>
      </c>
      <c r="BF45" s="151">
        <v>0</v>
      </c>
      <c r="BG45" s="151">
        <v>0</v>
      </c>
      <c r="BH45" s="151">
        <v>0</v>
      </c>
      <c r="BI45" s="151">
        <v>0</v>
      </c>
      <c r="BJ45" s="151">
        <v>0</v>
      </c>
      <c r="BK45" s="151">
        <v>0</v>
      </c>
      <c r="BL45" s="151">
        <v>0</v>
      </c>
      <c r="BM45" s="151">
        <v>0</v>
      </c>
      <c r="BN45" s="151">
        <v>0</v>
      </c>
      <c r="BO45" s="151">
        <v>0</v>
      </c>
      <c r="BP45" s="151">
        <v>0</v>
      </c>
      <c r="BQ45" s="151">
        <v>0</v>
      </c>
      <c r="BR45" s="151">
        <v>0</v>
      </c>
      <c r="BS45" s="151">
        <v>0</v>
      </c>
      <c r="BT45" s="151">
        <v>0</v>
      </c>
      <c r="BU45" s="151">
        <v>0</v>
      </c>
      <c r="BV45" s="151">
        <v>0</v>
      </c>
      <c r="BW45" s="151">
        <v>0</v>
      </c>
      <c r="BX45" s="151">
        <v>0</v>
      </c>
      <c r="BY45" s="151">
        <v>0</v>
      </c>
      <c r="BZ45" s="151">
        <v>0</v>
      </c>
    </row>
    <row r="46" spans="1:78">
      <c r="A46" s="151">
        <f t="shared" si="0"/>
        <v>502</v>
      </c>
      <c r="B46" s="151">
        <f>B45</f>
        <v>300005</v>
      </c>
      <c r="C46" s="125" t="str">
        <f>VLOOKUP(B46,Multilingual!A:B,2,FALSE)</f>
        <v>정강이싸개</v>
      </c>
      <c r="D46" s="151">
        <v>0</v>
      </c>
      <c r="E46" s="151">
        <v>0</v>
      </c>
      <c r="F46" s="151">
        <v>501</v>
      </c>
      <c r="G46" s="151">
        <v>1</v>
      </c>
      <c r="H46" s="151">
        <v>0</v>
      </c>
      <c r="I46" s="151">
        <v>0</v>
      </c>
      <c r="J46" s="151">
        <v>0</v>
      </c>
      <c r="K46" s="151">
        <v>0</v>
      </c>
      <c r="L46" s="151">
        <v>0</v>
      </c>
      <c r="M46" s="151">
        <v>0</v>
      </c>
      <c r="N46" s="151">
        <v>0</v>
      </c>
      <c r="O46" s="151">
        <v>0</v>
      </c>
      <c r="P46" s="151">
        <v>0</v>
      </c>
      <c r="Q46" s="151">
        <v>0</v>
      </c>
      <c r="R46" s="151">
        <v>0</v>
      </c>
      <c r="S46" s="151">
        <v>0</v>
      </c>
      <c r="T46" s="151">
        <v>0</v>
      </c>
      <c r="U46" s="151">
        <v>0</v>
      </c>
      <c r="V46" s="151">
        <v>0</v>
      </c>
      <c r="W46" s="151">
        <v>0</v>
      </c>
      <c r="X46" s="151">
        <v>1</v>
      </c>
      <c r="Y46" s="151">
        <v>0</v>
      </c>
      <c r="Z46" s="151">
        <v>0</v>
      </c>
      <c r="AA46" s="151">
        <v>0</v>
      </c>
      <c r="AB46" s="151">
        <v>0</v>
      </c>
      <c r="AC46" s="151">
        <v>0</v>
      </c>
      <c r="AD46" s="151">
        <v>0</v>
      </c>
      <c r="AE46" s="151">
        <v>0</v>
      </c>
      <c r="AF46" s="151">
        <v>0</v>
      </c>
      <c r="AG46" s="151">
        <v>0</v>
      </c>
      <c r="AH46" s="151">
        <v>0</v>
      </c>
      <c r="AI46" s="151">
        <v>0</v>
      </c>
      <c r="AJ46" s="151">
        <v>0</v>
      </c>
      <c r="AK46" s="151">
        <v>0</v>
      </c>
      <c r="AL46" s="151">
        <v>0</v>
      </c>
      <c r="AM46" s="151">
        <v>0</v>
      </c>
      <c r="AN46" s="151">
        <v>0</v>
      </c>
      <c r="AO46" s="151">
        <v>0</v>
      </c>
      <c r="AP46" s="151">
        <v>0</v>
      </c>
      <c r="AQ46" s="151">
        <v>0</v>
      </c>
      <c r="AR46" s="151">
        <v>0</v>
      </c>
      <c r="AS46" s="151">
        <v>0</v>
      </c>
      <c r="AT46" s="151">
        <v>0</v>
      </c>
      <c r="AU46" s="151">
        <v>0</v>
      </c>
      <c r="AV46" s="151">
        <v>0</v>
      </c>
      <c r="AW46" s="151">
        <v>0</v>
      </c>
      <c r="AX46" s="151">
        <v>0</v>
      </c>
      <c r="AY46" s="151">
        <v>0</v>
      </c>
      <c r="AZ46" s="151">
        <v>0</v>
      </c>
      <c r="BA46" s="151">
        <v>0</v>
      </c>
      <c r="BB46" s="151">
        <v>0</v>
      </c>
      <c r="BC46" s="151">
        <v>0</v>
      </c>
      <c r="BD46" s="151">
        <v>0</v>
      </c>
      <c r="BE46" s="151">
        <v>0</v>
      </c>
      <c r="BF46" s="151">
        <v>0</v>
      </c>
      <c r="BG46" s="151">
        <v>0</v>
      </c>
      <c r="BH46" s="151">
        <v>0</v>
      </c>
      <c r="BI46" s="151">
        <v>0</v>
      </c>
      <c r="BJ46" s="151">
        <v>0</v>
      </c>
      <c r="BK46" s="151">
        <v>0</v>
      </c>
      <c r="BL46" s="151">
        <v>0</v>
      </c>
      <c r="BM46" s="151">
        <v>0</v>
      </c>
      <c r="BN46" s="151">
        <v>0</v>
      </c>
      <c r="BO46" s="151">
        <v>0</v>
      </c>
      <c r="BP46" s="151">
        <v>0</v>
      </c>
      <c r="BQ46" s="151">
        <v>0</v>
      </c>
      <c r="BR46" s="151">
        <v>0</v>
      </c>
      <c r="BS46" s="151">
        <v>0</v>
      </c>
      <c r="BT46" s="151">
        <v>0</v>
      </c>
      <c r="BU46" s="151">
        <v>0</v>
      </c>
      <c r="BV46" s="151">
        <v>0</v>
      </c>
      <c r="BW46" s="151">
        <v>0</v>
      </c>
      <c r="BX46" s="151">
        <v>0</v>
      </c>
      <c r="BY46" s="151">
        <v>0</v>
      </c>
      <c r="BZ46" s="151">
        <v>0</v>
      </c>
    </row>
    <row r="47" spans="1:78">
      <c r="A47" s="151">
        <f t="shared" si="0"/>
        <v>503</v>
      </c>
      <c r="B47" s="151">
        <f t="shared" ref="B47:B54" si="15">B46</f>
        <v>300005</v>
      </c>
      <c r="C47" s="125" t="str">
        <f>VLOOKUP(B47,Multilingual!A:B,2,FALSE)</f>
        <v>정강이싸개</v>
      </c>
      <c r="D47" s="151">
        <v>0</v>
      </c>
      <c r="E47" s="151">
        <v>0</v>
      </c>
      <c r="F47" s="151">
        <f>F46+1</f>
        <v>502</v>
      </c>
      <c r="G47" s="151">
        <v>1</v>
      </c>
      <c r="H47" s="151">
        <v>0</v>
      </c>
      <c r="I47" s="151">
        <v>0</v>
      </c>
      <c r="J47" s="151">
        <v>0</v>
      </c>
      <c r="K47" s="151">
        <v>0</v>
      </c>
      <c r="L47" s="151">
        <v>0</v>
      </c>
      <c r="M47" s="151">
        <v>0</v>
      </c>
      <c r="N47" s="151">
        <v>0</v>
      </c>
      <c r="O47" s="151">
        <v>0</v>
      </c>
      <c r="P47" s="151">
        <v>0</v>
      </c>
      <c r="Q47" s="151">
        <v>0</v>
      </c>
      <c r="R47" s="151">
        <v>0</v>
      </c>
      <c r="S47" s="151">
        <v>0</v>
      </c>
      <c r="T47" s="151">
        <v>0</v>
      </c>
      <c r="U47" s="151">
        <v>0</v>
      </c>
      <c r="V47" s="151">
        <v>0</v>
      </c>
      <c r="W47" s="151">
        <v>0</v>
      </c>
      <c r="X47" s="151">
        <v>1</v>
      </c>
      <c r="Y47" s="151">
        <v>0</v>
      </c>
      <c r="Z47" s="151">
        <v>0</v>
      </c>
      <c r="AA47" s="151">
        <v>0</v>
      </c>
      <c r="AB47" s="151">
        <v>0</v>
      </c>
      <c r="AC47" s="151">
        <v>0</v>
      </c>
      <c r="AD47" s="151">
        <v>0</v>
      </c>
      <c r="AE47" s="151">
        <v>0</v>
      </c>
      <c r="AF47" s="151">
        <v>0</v>
      </c>
      <c r="AG47" s="151">
        <v>0</v>
      </c>
      <c r="AH47" s="151">
        <v>0</v>
      </c>
      <c r="AI47" s="151">
        <v>0</v>
      </c>
      <c r="AJ47" s="151">
        <v>0</v>
      </c>
      <c r="AK47" s="151">
        <v>0</v>
      </c>
      <c r="AL47" s="151">
        <v>0</v>
      </c>
      <c r="AM47" s="151">
        <v>0</v>
      </c>
      <c r="AN47" s="151">
        <v>0</v>
      </c>
      <c r="AO47" s="151">
        <v>0</v>
      </c>
      <c r="AP47" s="151">
        <v>0</v>
      </c>
      <c r="AQ47" s="151">
        <v>0</v>
      </c>
      <c r="AR47" s="151">
        <v>0</v>
      </c>
      <c r="AS47" s="151">
        <v>0</v>
      </c>
      <c r="AT47" s="151">
        <v>0</v>
      </c>
      <c r="AU47" s="151">
        <v>0</v>
      </c>
      <c r="AV47" s="151">
        <v>0</v>
      </c>
      <c r="AW47" s="151">
        <v>0</v>
      </c>
      <c r="AX47" s="151">
        <v>0</v>
      </c>
      <c r="AY47" s="151">
        <v>0</v>
      </c>
      <c r="AZ47" s="151">
        <v>0</v>
      </c>
      <c r="BA47" s="151">
        <v>0</v>
      </c>
      <c r="BB47" s="151">
        <v>0</v>
      </c>
      <c r="BC47" s="151">
        <v>0</v>
      </c>
      <c r="BD47" s="151">
        <v>0</v>
      </c>
      <c r="BE47" s="151">
        <v>0</v>
      </c>
      <c r="BF47" s="151">
        <v>0</v>
      </c>
      <c r="BG47" s="151">
        <v>0</v>
      </c>
      <c r="BH47" s="151">
        <v>0</v>
      </c>
      <c r="BI47" s="151">
        <v>0</v>
      </c>
      <c r="BJ47" s="151">
        <v>0</v>
      </c>
      <c r="BK47" s="151">
        <v>0</v>
      </c>
      <c r="BL47" s="151">
        <v>0</v>
      </c>
      <c r="BM47" s="151">
        <v>0</v>
      </c>
      <c r="BN47" s="151">
        <v>0</v>
      </c>
      <c r="BO47" s="151">
        <v>0</v>
      </c>
      <c r="BP47" s="151">
        <v>0</v>
      </c>
      <c r="BQ47" s="151">
        <v>0</v>
      </c>
      <c r="BR47" s="151">
        <v>0</v>
      </c>
      <c r="BS47" s="151">
        <v>0</v>
      </c>
      <c r="BT47" s="151">
        <v>0</v>
      </c>
      <c r="BU47" s="151">
        <v>0</v>
      </c>
      <c r="BV47" s="151">
        <v>0</v>
      </c>
      <c r="BW47" s="151">
        <v>0</v>
      </c>
      <c r="BX47" s="151">
        <v>0</v>
      </c>
      <c r="BY47" s="151">
        <v>0</v>
      </c>
      <c r="BZ47" s="151">
        <v>0</v>
      </c>
    </row>
    <row r="48" spans="1:78">
      <c r="A48" s="151">
        <f t="shared" si="0"/>
        <v>504</v>
      </c>
      <c r="B48" s="151">
        <f t="shared" si="15"/>
        <v>300005</v>
      </c>
      <c r="C48" s="125" t="str">
        <f>VLOOKUP(B48,Multilingual!A:B,2,FALSE)</f>
        <v>정강이싸개</v>
      </c>
      <c r="D48" s="151">
        <v>0</v>
      </c>
      <c r="E48" s="151">
        <v>0</v>
      </c>
      <c r="F48" s="151">
        <f t="shared" ref="F48:F54" si="16">F47+1</f>
        <v>503</v>
      </c>
      <c r="G48" s="151">
        <v>1</v>
      </c>
      <c r="H48" s="151">
        <v>0</v>
      </c>
      <c r="I48" s="151">
        <v>0</v>
      </c>
      <c r="J48" s="151">
        <v>0</v>
      </c>
      <c r="K48" s="151">
        <v>0</v>
      </c>
      <c r="L48" s="151">
        <v>0</v>
      </c>
      <c r="M48" s="151">
        <v>0</v>
      </c>
      <c r="N48" s="151">
        <v>0</v>
      </c>
      <c r="O48" s="151">
        <v>0</v>
      </c>
      <c r="P48" s="151">
        <v>0</v>
      </c>
      <c r="Q48" s="151">
        <v>0</v>
      </c>
      <c r="R48" s="151">
        <v>0</v>
      </c>
      <c r="S48" s="151">
        <v>0</v>
      </c>
      <c r="T48" s="151">
        <v>0</v>
      </c>
      <c r="U48" s="151">
        <v>0</v>
      </c>
      <c r="V48" s="151">
        <v>0</v>
      </c>
      <c r="W48" s="151">
        <v>0</v>
      </c>
      <c r="X48" s="151">
        <v>1</v>
      </c>
      <c r="Y48" s="151">
        <v>0</v>
      </c>
      <c r="Z48" s="151">
        <v>0</v>
      </c>
      <c r="AA48" s="151">
        <v>0</v>
      </c>
      <c r="AB48" s="151">
        <v>0</v>
      </c>
      <c r="AC48" s="151">
        <v>0</v>
      </c>
      <c r="AD48" s="151">
        <v>0</v>
      </c>
      <c r="AE48" s="151">
        <v>0</v>
      </c>
      <c r="AF48" s="151">
        <v>0</v>
      </c>
      <c r="AG48" s="151">
        <v>0</v>
      </c>
      <c r="AH48" s="151">
        <v>0</v>
      </c>
      <c r="AI48" s="151">
        <v>0</v>
      </c>
      <c r="AJ48" s="151">
        <v>0</v>
      </c>
      <c r="AK48" s="151">
        <v>0</v>
      </c>
      <c r="AL48" s="151">
        <v>0</v>
      </c>
      <c r="AM48" s="151">
        <v>0</v>
      </c>
      <c r="AN48" s="151">
        <v>0</v>
      </c>
      <c r="AO48" s="151">
        <v>0</v>
      </c>
      <c r="AP48" s="151">
        <v>0</v>
      </c>
      <c r="AQ48" s="151">
        <v>0</v>
      </c>
      <c r="AR48" s="151">
        <v>0</v>
      </c>
      <c r="AS48" s="151">
        <v>0</v>
      </c>
      <c r="AT48" s="151">
        <v>0</v>
      </c>
      <c r="AU48" s="151">
        <v>0</v>
      </c>
      <c r="AV48" s="151">
        <v>0</v>
      </c>
      <c r="AW48" s="151">
        <v>0</v>
      </c>
      <c r="AX48" s="151">
        <v>0</v>
      </c>
      <c r="AY48" s="151">
        <v>0</v>
      </c>
      <c r="AZ48" s="151">
        <v>0</v>
      </c>
      <c r="BA48" s="151">
        <v>0</v>
      </c>
      <c r="BB48" s="151">
        <v>0</v>
      </c>
      <c r="BC48" s="151">
        <v>0</v>
      </c>
      <c r="BD48" s="151">
        <v>0</v>
      </c>
      <c r="BE48" s="151">
        <v>0</v>
      </c>
      <c r="BF48" s="151">
        <v>0</v>
      </c>
      <c r="BG48" s="151">
        <v>0</v>
      </c>
      <c r="BH48" s="151">
        <v>0</v>
      </c>
      <c r="BI48" s="151">
        <v>0</v>
      </c>
      <c r="BJ48" s="151">
        <v>0</v>
      </c>
      <c r="BK48" s="151">
        <v>0</v>
      </c>
      <c r="BL48" s="151">
        <v>0</v>
      </c>
      <c r="BM48" s="151">
        <v>0</v>
      </c>
      <c r="BN48" s="151">
        <v>0</v>
      </c>
      <c r="BO48" s="151">
        <v>0</v>
      </c>
      <c r="BP48" s="151">
        <v>0</v>
      </c>
      <c r="BQ48" s="151">
        <v>0</v>
      </c>
      <c r="BR48" s="151">
        <v>0</v>
      </c>
      <c r="BS48" s="151">
        <v>0</v>
      </c>
      <c r="BT48" s="151">
        <v>0</v>
      </c>
      <c r="BU48" s="151">
        <v>0</v>
      </c>
      <c r="BV48" s="151">
        <v>0</v>
      </c>
      <c r="BW48" s="151">
        <v>0</v>
      </c>
      <c r="BX48" s="151">
        <v>0</v>
      </c>
      <c r="BY48" s="151">
        <v>0</v>
      </c>
      <c r="BZ48" s="151">
        <v>0</v>
      </c>
    </row>
    <row r="49" spans="1:78">
      <c r="A49" s="151">
        <f t="shared" si="0"/>
        <v>505</v>
      </c>
      <c r="B49" s="151">
        <f t="shared" si="15"/>
        <v>300005</v>
      </c>
      <c r="C49" s="125" t="str">
        <f>VLOOKUP(B49,Multilingual!A:B,2,FALSE)</f>
        <v>정강이싸개</v>
      </c>
      <c r="D49" s="151">
        <v>0</v>
      </c>
      <c r="E49" s="151">
        <v>0</v>
      </c>
      <c r="F49" s="151">
        <f t="shared" si="16"/>
        <v>504</v>
      </c>
      <c r="G49" s="151">
        <v>1</v>
      </c>
      <c r="H49" s="151">
        <v>0</v>
      </c>
      <c r="I49" s="151">
        <v>0</v>
      </c>
      <c r="J49" s="151">
        <v>0</v>
      </c>
      <c r="K49" s="151">
        <v>0</v>
      </c>
      <c r="L49" s="151">
        <v>0</v>
      </c>
      <c r="M49" s="151">
        <v>0</v>
      </c>
      <c r="N49" s="151">
        <v>0</v>
      </c>
      <c r="O49" s="151">
        <v>0</v>
      </c>
      <c r="P49" s="151">
        <v>0</v>
      </c>
      <c r="Q49" s="151">
        <v>0</v>
      </c>
      <c r="R49" s="151">
        <v>0</v>
      </c>
      <c r="S49" s="151">
        <v>0</v>
      </c>
      <c r="T49" s="151">
        <v>0</v>
      </c>
      <c r="U49" s="151">
        <v>0</v>
      </c>
      <c r="V49" s="151">
        <v>0</v>
      </c>
      <c r="W49" s="151">
        <v>0</v>
      </c>
      <c r="X49" s="151">
        <v>1</v>
      </c>
      <c r="Y49" s="151">
        <v>0</v>
      </c>
      <c r="Z49" s="151">
        <v>0</v>
      </c>
      <c r="AA49" s="151">
        <v>0</v>
      </c>
      <c r="AB49" s="151">
        <v>0</v>
      </c>
      <c r="AC49" s="151">
        <v>0</v>
      </c>
      <c r="AD49" s="151">
        <v>0</v>
      </c>
      <c r="AE49" s="151">
        <v>0</v>
      </c>
      <c r="AF49" s="151">
        <v>0</v>
      </c>
      <c r="AG49" s="151">
        <v>0</v>
      </c>
      <c r="AH49" s="151">
        <v>0</v>
      </c>
      <c r="AI49" s="151">
        <v>0</v>
      </c>
      <c r="AJ49" s="151">
        <v>0</v>
      </c>
      <c r="AK49" s="151">
        <v>0</v>
      </c>
      <c r="AL49" s="151">
        <v>0</v>
      </c>
      <c r="AM49" s="151">
        <v>0</v>
      </c>
      <c r="AN49" s="151">
        <v>0</v>
      </c>
      <c r="AO49" s="151">
        <v>0</v>
      </c>
      <c r="AP49" s="151">
        <v>0</v>
      </c>
      <c r="AQ49" s="151">
        <v>0</v>
      </c>
      <c r="AR49" s="151">
        <v>0</v>
      </c>
      <c r="AS49" s="151">
        <v>0</v>
      </c>
      <c r="AT49" s="151">
        <v>0</v>
      </c>
      <c r="AU49" s="151">
        <v>0</v>
      </c>
      <c r="AV49" s="151">
        <v>0</v>
      </c>
      <c r="AW49" s="151">
        <v>0</v>
      </c>
      <c r="AX49" s="151">
        <v>0</v>
      </c>
      <c r="AY49" s="151">
        <v>0</v>
      </c>
      <c r="AZ49" s="151">
        <v>0</v>
      </c>
      <c r="BA49" s="151">
        <v>0</v>
      </c>
      <c r="BB49" s="151">
        <v>0</v>
      </c>
      <c r="BC49" s="151">
        <v>0</v>
      </c>
      <c r="BD49" s="151">
        <v>0</v>
      </c>
      <c r="BE49" s="151">
        <v>0</v>
      </c>
      <c r="BF49" s="151">
        <v>0</v>
      </c>
      <c r="BG49" s="151">
        <v>0</v>
      </c>
      <c r="BH49" s="151">
        <v>0</v>
      </c>
      <c r="BI49" s="151">
        <v>0</v>
      </c>
      <c r="BJ49" s="151">
        <v>0</v>
      </c>
      <c r="BK49" s="151">
        <v>0</v>
      </c>
      <c r="BL49" s="151">
        <v>0</v>
      </c>
      <c r="BM49" s="151">
        <v>0</v>
      </c>
      <c r="BN49" s="151">
        <v>0</v>
      </c>
      <c r="BO49" s="151">
        <v>0</v>
      </c>
      <c r="BP49" s="151">
        <v>0</v>
      </c>
      <c r="BQ49" s="151">
        <v>0</v>
      </c>
      <c r="BR49" s="151">
        <v>0</v>
      </c>
      <c r="BS49" s="151">
        <v>0</v>
      </c>
      <c r="BT49" s="151">
        <v>0</v>
      </c>
      <c r="BU49" s="151">
        <v>0</v>
      </c>
      <c r="BV49" s="151">
        <v>0</v>
      </c>
      <c r="BW49" s="151">
        <v>0</v>
      </c>
      <c r="BX49" s="151">
        <v>0</v>
      </c>
      <c r="BY49" s="151">
        <v>0</v>
      </c>
      <c r="BZ49" s="151">
        <v>0</v>
      </c>
    </row>
    <row r="50" spans="1:78">
      <c r="A50" s="151">
        <f t="shared" si="0"/>
        <v>506</v>
      </c>
      <c r="B50" s="151">
        <f t="shared" si="15"/>
        <v>300005</v>
      </c>
      <c r="C50" s="125" t="str">
        <f>VLOOKUP(B50,Multilingual!A:B,2,FALSE)</f>
        <v>정강이싸개</v>
      </c>
      <c r="D50" s="151">
        <v>0</v>
      </c>
      <c r="E50" s="151">
        <v>0</v>
      </c>
      <c r="F50" s="151">
        <f t="shared" si="16"/>
        <v>505</v>
      </c>
      <c r="G50" s="151">
        <v>1</v>
      </c>
      <c r="H50" s="151">
        <v>0</v>
      </c>
      <c r="I50" s="151">
        <v>0</v>
      </c>
      <c r="J50" s="151">
        <v>0</v>
      </c>
      <c r="K50" s="151">
        <v>0</v>
      </c>
      <c r="L50" s="151">
        <v>0</v>
      </c>
      <c r="M50" s="151">
        <v>0</v>
      </c>
      <c r="N50" s="151">
        <v>0</v>
      </c>
      <c r="O50" s="151">
        <v>0</v>
      </c>
      <c r="P50" s="151">
        <v>0</v>
      </c>
      <c r="Q50" s="151">
        <v>0</v>
      </c>
      <c r="R50" s="151">
        <v>0</v>
      </c>
      <c r="S50" s="151">
        <v>0</v>
      </c>
      <c r="T50" s="151">
        <v>0</v>
      </c>
      <c r="U50" s="151">
        <v>0</v>
      </c>
      <c r="V50" s="151">
        <v>0</v>
      </c>
      <c r="W50" s="151">
        <v>0</v>
      </c>
      <c r="X50" s="151">
        <v>1</v>
      </c>
      <c r="Y50" s="151">
        <v>0</v>
      </c>
      <c r="Z50" s="151">
        <v>0</v>
      </c>
      <c r="AA50" s="151">
        <v>0</v>
      </c>
      <c r="AB50" s="151">
        <v>0</v>
      </c>
      <c r="AC50" s="151">
        <v>0</v>
      </c>
      <c r="AD50" s="151">
        <v>0</v>
      </c>
      <c r="AE50" s="151">
        <v>0</v>
      </c>
      <c r="AF50" s="151">
        <v>0</v>
      </c>
      <c r="AG50" s="151">
        <v>0</v>
      </c>
      <c r="AH50" s="151">
        <v>0</v>
      </c>
      <c r="AI50" s="151">
        <v>0</v>
      </c>
      <c r="AJ50" s="151">
        <v>0</v>
      </c>
      <c r="AK50" s="151">
        <v>0</v>
      </c>
      <c r="AL50" s="151">
        <v>0</v>
      </c>
      <c r="AM50" s="151">
        <v>0</v>
      </c>
      <c r="AN50" s="151">
        <v>0</v>
      </c>
      <c r="AO50" s="151">
        <v>0</v>
      </c>
      <c r="AP50" s="151">
        <v>0</v>
      </c>
      <c r="AQ50" s="151">
        <v>0</v>
      </c>
      <c r="AR50" s="151">
        <v>0</v>
      </c>
      <c r="AS50" s="151">
        <v>0</v>
      </c>
      <c r="AT50" s="151">
        <v>0</v>
      </c>
      <c r="AU50" s="151">
        <v>0</v>
      </c>
      <c r="AV50" s="151">
        <v>0</v>
      </c>
      <c r="AW50" s="151">
        <v>0</v>
      </c>
      <c r="AX50" s="151">
        <v>0</v>
      </c>
      <c r="AY50" s="151">
        <v>0</v>
      </c>
      <c r="AZ50" s="151">
        <v>0</v>
      </c>
      <c r="BA50" s="151">
        <v>0</v>
      </c>
      <c r="BB50" s="151">
        <v>0</v>
      </c>
      <c r="BC50" s="151">
        <v>0</v>
      </c>
      <c r="BD50" s="151">
        <v>0</v>
      </c>
      <c r="BE50" s="151">
        <v>0</v>
      </c>
      <c r="BF50" s="151">
        <v>0</v>
      </c>
      <c r="BG50" s="151">
        <v>0</v>
      </c>
      <c r="BH50" s="151">
        <v>0</v>
      </c>
      <c r="BI50" s="151">
        <v>0</v>
      </c>
      <c r="BJ50" s="151">
        <v>0</v>
      </c>
      <c r="BK50" s="151">
        <v>0</v>
      </c>
      <c r="BL50" s="151">
        <v>0</v>
      </c>
      <c r="BM50" s="151">
        <v>0</v>
      </c>
      <c r="BN50" s="151">
        <v>0</v>
      </c>
      <c r="BO50" s="151">
        <v>0</v>
      </c>
      <c r="BP50" s="151">
        <v>0</v>
      </c>
      <c r="BQ50" s="151">
        <v>0</v>
      </c>
      <c r="BR50" s="151">
        <v>0</v>
      </c>
      <c r="BS50" s="151">
        <v>0</v>
      </c>
      <c r="BT50" s="151">
        <v>0</v>
      </c>
      <c r="BU50" s="151">
        <v>0</v>
      </c>
      <c r="BV50" s="151">
        <v>0</v>
      </c>
      <c r="BW50" s="151">
        <v>0</v>
      </c>
      <c r="BX50" s="151">
        <v>0</v>
      </c>
      <c r="BY50" s="151">
        <v>0</v>
      </c>
      <c r="BZ50" s="151">
        <v>0</v>
      </c>
    </row>
    <row r="51" spans="1:78">
      <c r="A51" s="151">
        <f t="shared" si="0"/>
        <v>507</v>
      </c>
      <c r="B51" s="151">
        <f t="shared" si="15"/>
        <v>300005</v>
      </c>
      <c r="C51" s="125" t="str">
        <f>VLOOKUP(B51,Multilingual!A:B,2,FALSE)</f>
        <v>정강이싸개</v>
      </c>
      <c r="D51" s="151">
        <v>0</v>
      </c>
      <c r="E51" s="151">
        <v>0</v>
      </c>
      <c r="F51" s="151">
        <f t="shared" si="16"/>
        <v>506</v>
      </c>
      <c r="G51" s="151">
        <v>1</v>
      </c>
      <c r="H51" s="151">
        <v>0</v>
      </c>
      <c r="I51" s="151">
        <v>0</v>
      </c>
      <c r="J51" s="151">
        <v>0</v>
      </c>
      <c r="K51" s="151">
        <v>0</v>
      </c>
      <c r="L51" s="151">
        <v>0</v>
      </c>
      <c r="M51" s="151">
        <v>0</v>
      </c>
      <c r="N51" s="151">
        <v>0</v>
      </c>
      <c r="O51" s="151">
        <v>0</v>
      </c>
      <c r="P51" s="151">
        <v>0</v>
      </c>
      <c r="Q51" s="151">
        <v>0</v>
      </c>
      <c r="R51" s="151">
        <v>0</v>
      </c>
      <c r="S51" s="151">
        <v>0</v>
      </c>
      <c r="T51" s="151">
        <v>0</v>
      </c>
      <c r="U51" s="151">
        <v>0</v>
      </c>
      <c r="V51" s="151">
        <v>0</v>
      </c>
      <c r="W51" s="151">
        <v>0</v>
      </c>
      <c r="X51" s="151">
        <v>1</v>
      </c>
      <c r="Y51" s="151">
        <v>0</v>
      </c>
      <c r="Z51" s="151">
        <v>0</v>
      </c>
      <c r="AA51" s="151">
        <v>0</v>
      </c>
      <c r="AB51" s="151">
        <v>0</v>
      </c>
      <c r="AC51" s="151">
        <v>0</v>
      </c>
      <c r="AD51" s="151">
        <v>0</v>
      </c>
      <c r="AE51" s="151">
        <v>0</v>
      </c>
      <c r="AF51" s="151">
        <v>0</v>
      </c>
      <c r="AG51" s="151">
        <v>0</v>
      </c>
      <c r="AH51" s="151">
        <v>0</v>
      </c>
      <c r="AI51" s="151">
        <v>0</v>
      </c>
      <c r="AJ51" s="151">
        <v>0</v>
      </c>
      <c r="AK51" s="151">
        <v>0</v>
      </c>
      <c r="AL51" s="151">
        <v>0</v>
      </c>
      <c r="AM51" s="151">
        <v>0</v>
      </c>
      <c r="AN51" s="151">
        <v>0</v>
      </c>
      <c r="AO51" s="151">
        <v>0</v>
      </c>
      <c r="AP51" s="151">
        <v>0</v>
      </c>
      <c r="AQ51" s="151">
        <v>0</v>
      </c>
      <c r="AR51" s="151">
        <v>0</v>
      </c>
      <c r="AS51" s="151">
        <v>0</v>
      </c>
      <c r="AT51" s="151">
        <v>0</v>
      </c>
      <c r="AU51" s="151">
        <v>0</v>
      </c>
      <c r="AV51" s="151">
        <v>0</v>
      </c>
      <c r="AW51" s="151">
        <v>0</v>
      </c>
      <c r="AX51" s="151">
        <v>0</v>
      </c>
      <c r="AY51" s="151">
        <v>0</v>
      </c>
      <c r="AZ51" s="151">
        <v>0</v>
      </c>
      <c r="BA51" s="151">
        <v>0</v>
      </c>
      <c r="BB51" s="151">
        <v>0</v>
      </c>
      <c r="BC51" s="151">
        <v>0</v>
      </c>
      <c r="BD51" s="151">
        <v>0</v>
      </c>
      <c r="BE51" s="151">
        <v>0</v>
      </c>
      <c r="BF51" s="151">
        <v>0</v>
      </c>
      <c r="BG51" s="151">
        <v>0</v>
      </c>
      <c r="BH51" s="151">
        <v>0</v>
      </c>
      <c r="BI51" s="151">
        <v>0</v>
      </c>
      <c r="BJ51" s="151">
        <v>0</v>
      </c>
      <c r="BK51" s="151">
        <v>0</v>
      </c>
      <c r="BL51" s="151">
        <v>0</v>
      </c>
      <c r="BM51" s="151">
        <v>0</v>
      </c>
      <c r="BN51" s="151">
        <v>0</v>
      </c>
      <c r="BO51" s="151">
        <v>0</v>
      </c>
      <c r="BP51" s="151">
        <v>0</v>
      </c>
      <c r="BQ51" s="151">
        <v>0</v>
      </c>
      <c r="BR51" s="151">
        <v>0</v>
      </c>
      <c r="BS51" s="151">
        <v>0</v>
      </c>
      <c r="BT51" s="151">
        <v>0</v>
      </c>
      <c r="BU51" s="151">
        <v>0</v>
      </c>
      <c r="BV51" s="151">
        <v>0</v>
      </c>
      <c r="BW51" s="151">
        <v>0</v>
      </c>
      <c r="BX51" s="151">
        <v>0</v>
      </c>
      <c r="BY51" s="151">
        <v>0</v>
      </c>
      <c r="BZ51" s="151">
        <v>0</v>
      </c>
    </row>
    <row r="52" spans="1:78">
      <c r="A52" s="151">
        <f t="shared" si="0"/>
        <v>508</v>
      </c>
      <c r="B52" s="151">
        <f t="shared" si="15"/>
        <v>300005</v>
      </c>
      <c r="C52" s="125" t="str">
        <f>VLOOKUP(B52,Multilingual!A:B,2,FALSE)</f>
        <v>정강이싸개</v>
      </c>
      <c r="D52" s="151">
        <v>0</v>
      </c>
      <c r="E52" s="151">
        <v>0</v>
      </c>
      <c r="F52" s="151">
        <f t="shared" si="16"/>
        <v>507</v>
      </c>
      <c r="G52" s="151">
        <v>1</v>
      </c>
      <c r="H52" s="151">
        <v>0</v>
      </c>
      <c r="I52" s="151">
        <v>0</v>
      </c>
      <c r="J52" s="151">
        <v>0</v>
      </c>
      <c r="K52" s="151">
        <v>0</v>
      </c>
      <c r="L52" s="151">
        <v>0</v>
      </c>
      <c r="M52" s="151">
        <v>0</v>
      </c>
      <c r="N52" s="151">
        <v>0</v>
      </c>
      <c r="O52" s="151">
        <v>0</v>
      </c>
      <c r="P52" s="151">
        <v>0</v>
      </c>
      <c r="Q52" s="151">
        <v>0</v>
      </c>
      <c r="R52" s="151">
        <v>0</v>
      </c>
      <c r="S52" s="151">
        <v>0</v>
      </c>
      <c r="T52" s="151">
        <v>0</v>
      </c>
      <c r="U52" s="151">
        <v>0</v>
      </c>
      <c r="V52" s="151">
        <v>0</v>
      </c>
      <c r="W52" s="151">
        <v>0</v>
      </c>
      <c r="X52" s="151">
        <v>1</v>
      </c>
      <c r="Y52" s="151">
        <v>0</v>
      </c>
      <c r="Z52" s="151">
        <v>0</v>
      </c>
      <c r="AA52" s="151">
        <v>0</v>
      </c>
      <c r="AB52" s="151">
        <v>0</v>
      </c>
      <c r="AC52" s="151">
        <v>0</v>
      </c>
      <c r="AD52" s="151">
        <v>0</v>
      </c>
      <c r="AE52" s="151">
        <v>0</v>
      </c>
      <c r="AF52" s="151">
        <v>0</v>
      </c>
      <c r="AG52" s="151">
        <v>0</v>
      </c>
      <c r="AH52" s="151">
        <v>0</v>
      </c>
      <c r="AI52" s="151">
        <v>0</v>
      </c>
      <c r="AJ52" s="151">
        <v>0</v>
      </c>
      <c r="AK52" s="151">
        <v>0</v>
      </c>
      <c r="AL52" s="151">
        <v>0</v>
      </c>
      <c r="AM52" s="151">
        <v>0</v>
      </c>
      <c r="AN52" s="151">
        <v>0</v>
      </c>
      <c r="AO52" s="151">
        <v>0</v>
      </c>
      <c r="AP52" s="151">
        <v>0</v>
      </c>
      <c r="AQ52" s="151">
        <v>0</v>
      </c>
      <c r="AR52" s="151">
        <v>0</v>
      </c>
      <c r="AS52" s="151">
        <v>0</v>
      </c>
      <c r="AT52" s="151">
        <v>0</v>
      </c>
      <c r="AU52" s="151">
        <v>0</v>
      </c>
      <c r="AV52" s="151">
        <v>0</v>
      </c>
      <c r="AW52" s="151">
        <v>0</v>
      </c>
      <c r="AX52" s="151">
        <v>0</v>
      </c>
      <c r="AY52" s="151">
        <v>0</v>
      </c>
      <c r="AZ52" s="151">
        <v>0</v>
      </c>
      <c r="BA52" s="151">
        <v>0</v>
      </c>
      <c r="BB52" s="151">
        <v>0</v>
      </c>
      <c r="BC52" s="151">
        <v>0</v>
      </c>
      <c r="BD52" s="151">
        <v>0</v>
      </c>
      <c r="BE52" s="151">
        <v>0</v>
      </c>
      <c r="BF52" s="151">
        <v>0</v>
      </c>
      <c r="BG52" s="151">
        <v>0</v>
      </c>
      <c r="BH52" s="151">
        <v>0</v>
      </c>
      <c r="BI52" s="151">
        <v>0</v>
      </c>
      <c r="BJ52" s="151">
        <v>0</v>
      </c>
      <c r="BK52" s="151">
        <v>0</v>
      </c>
      <c r="BL52" s="151">
        <v>0</v>
      </c>
      <c r="BM52" s="151">
        <v>0</v>
      </c>
      <c r="BN52" s="151">
        <v>0</v>
      </c>
      <c r="BO52" s="151">
        <v>0</v>
      </c>
      <c r="BP52" s="151">
        <v>0</v>
      </c>
      <c r="BQ52" s="151">
        <v>0</v>
      </c>
      <c r="BR52" s="151">
        <v>0</v>
      </c>
      <c r="BS52" s="151">
        <v>0</v>
      </c>
      <c r="BT52" s="151">
        <v>0</v>
      </c>
      <c r="BU52" s="151">
        <v>0</v>
      </c>
      <c r="BV52" s="151">
        <v>0</v>
      </c>
      <c r="BW52" s="151">
        <v>0</v>
      </c>
      <c r="BX52" s="151">
        <v>0</v>
      </c>
      <c r="BY52" s="151">
        <v>0</v>
      </c>
      <c r="BZ52" s="151">
        <v>0</v>
      </c>
    </row>
    <row r="53" spans="1:78">
      <c r="A53" s="151">
        <f t="shared" si="0"/>
        <v>509</v>
      </c>
      <c r="B53" s="151">
        <f t="shared" si="15"/>
        <v>300005</v>
      </c>
      <c r="C53" s="125" t="str">
        <f>VLOOKUP(B53,Multilingual!A:B,2,FALSE)</f>
        <v>정강이싸개</v>
      </c>
      <c r="D53" s="151">
        <v>0</v>
      </c>
      <c r="E53" s="151">
        <v>0</v>
      </c>
      <c r="F53" s="151">
        <f t="shared" si="16"/>
        <v>508</v>
      </c>
      <c r="G53" s="151">
        <v>1</v>
      </c>
      <c r="H53" s="151">
        <v>0</v>
      </c>
      <c r="I53" s="151">
        <v>0</v>
      </c>
      <c r="J53" s="151">
        <v>0</v>
      </c>
      <c r="K53" s="151">
        <v>0</v>
      </c>
      <c r="L53" s="151">
        <v>0</v>
      </c>
      <c r="M53" s="151">
        <v>0</v>
      </c>
      <c r="N53" s="151">
        <v>0</v>
      </c>
      <c r="O53" s="151">
        <v>0</v>
      </c>
      <c r="P53" s="151">
        <v>0</v>
      </c>
      <c r="Q53" s="151">
        <v>0</v>
      </c>
      <c r="R53" s="151">
        <v>0</v>
      </c>
      <c r="S53" s="151">
        <v>0</v>
      </c>
      <c r="T53" s="151">
        <v>0</v>
      </c>
      <c r="U53" s="151">
        <v>0</v>
      </c>
      <c r="V53" s="151">
        <v>0</v>
      </c>
      <c r="W53" s="151">
        <v>0</v>
      </c>
      <c r="X53" s="151">
        <v>1</v>
      </c>
      <c r="Y53" s="151">
        <v>0</v>
      </c>
      <c r="Z53" s="151">
        <v>0</v>
      </c>
      <c r="AA53" s="151">
        <v>0</v>
      </c>
      <c r="AB53" s="151">
        <v>0</v>
      </c>
      <c r="AC53" s="151">
        <v>0</v>
      </c>
      <c r="AD53" s="151">
        <v>0</v>
      </c>
      <c r="AE53" s="151">
        <v>0</v>
      </c>
      <c r="AF53" s="151">
        <v>0</v>
      </c>
      <c r="AG53" s="151">
        <v>0</v>
      </c>
      <c r="AH53" s="151">
        <v>0</v>
      </c>
      <c r="AI53" s="151">
        <v>0</v>
      </c>
      <c r="AJ53" s="151">
        <v>0</v>
      </c>
      <c r="AK53" s="151">
        <v>0</v>
      </c>
      <c r="AL53" s="151">
        <v>0</v>
      </c>
      <c r="AM53" s="151">
        <v>0</v>
      </c>
      <c r="AN53" s="151">
        <v>0</v>
      </c>
      <c r="AO53" s="151">
        <v>0</v>
      </c>
      <c r="AP53" s="151">
        <v>0</v>
      </c>
      <c r="AQ53" s="151">
        <v>0</v>
      </c>
      <c r="AR53" s="151">
        <v>0</v>
      </c>
      <c r="AS53" s="151">
        <v>0</v>
      </c>
      <c r="AT53" s="151">
        <v>0</v>
      </c>
      <c r="AU53" s="151">
        <v>0</v>
      </c>
      <c r="AV53" s="151">
        <v>0</v>
      </c>
      <c r="AW53" s="151">
        <v>0</v>
      </c>
      <c r="AX53" s="151">
        <v>0</v>
      </c>
      <c r="AY53" s="151">
        <v>0</v>
      </c>
      <c r="AZ53" s="151">
        <v>0</v>
      </c>
      <c r="BA53" s="151">
        <v>0</v>
      </c>
      <c r="BB53" s="151">
        <v>0</v>
      </c>
      <c r="BC53" s="151">
        <v>0</v>
      </c>
      <c r="BD53" s="151">
        <v>0</v>
      </c>
      <c r="BE53" s="151">
        <v>0</v>
      </c>
      <c r="BF53" s="151">
        <v>0</v>
      </c>
      <c r="BG53" s="151">
        <v>0</v>
      </c>
      <c r="BH53" s="151">
        <v>0</v>
      </c>
      <c r="BI53" s="151">
        <v>0</v>
      </c>
      <c r="BJ53" s="151">
        <v>0</v>
      </c>
      <c r="BK53" s="151">
        <v>0</v>
      </c>
      <c r="BL53" s="151">
        <v>0</v>
      </c>
      <c r="BM53" s="151">
        <v>0</v>
      </c>
      <c r="BN53" s="151">
        <v>0</v>
      </c>
      <c r="BO53" s="151">
        <v>0</v>
      </c>
      <c r="BP53" s="151">
        <v>0</v>
      </c>
      <c r="BQ53" s="151">
        <v>0</v>
      </c>
      <c r="BR53" s="151">
        <v>0</v>
      </c>
      <c r="BS53" s="151">
        <v>0</v>
      </c>
      <c r="BT53" s="151">
        <v>0</v>
      </c>
      <c r="BU53" s="151">
        <v>0</v>
      </c>
      <c r="BV53" s="151">
        <v>0</v>
      </c>
      <c r="BW53" s="151">
        <v>0</v>
      </c>
      <c r="BX53" s="151">
        <v>0</v>
      </c>
      <c r="BY53" s="151">
        <v>0</v>
      </c>
      <c r="BZ53" s="151">
        <v>0</v>
      </c>
    </row>
    <row r="54" spans="1:78">
      <c r="A54" s="151">
        <f t="shared" si="0"/>
        <v>510</v>
      </c>
      <c r="B54" s="151">
        <f t="shared" si="15"/>
        <v>300005</v>
      </c>
      <c r="C54" s="125" t="str">
        <f>VLOOKUP(B54,Multilingual!A:B,2,FALSE)</f>
        <v>정강이싸개</v>
      </c>
      <c r="D54" s="151">
        <v>0</v>
      </c>
      <c r="E54" s="151">
        <v>0</v>
      </c>
      <c r="F54" s="151">
        <f t="shared" si="16"/>
        <v>509</v>
      </c>
      <c r="G54" s="151">
        <v>1</v>
      </c>
      <c r="H54" s="151">
        <v>0</v>
      </c>
      <c r="I54" s="151">
        <v>0</v>
      </c>
      <c r="J54" s="151">
        <v>0</v>
      </c>
      <c r="K54" s="151">
        <v>0</v>
      </c>
      <c r="L54" s="151">
        <v>0</v>
      </c>
      <c r="M54" s="151">
        <v>0</v>
      </c>
      <c r="N54" s="151">
        <v>0</v>
      </c>
      <c r="O54" s="151">
        <v>0</v>
      </c>
      <c r="P54" s="151">
        <v>0</v>
      </c>
      <c r="Q54" s="151">
        <v>0</v>
      </c>
      <c r="R54" s="151">
        <v>0</v>
      </c>
      <c r="S54" s="151">
        <v>0</v>
      </c>
      <c r="T54" s="151">
        <v>0</v>
      </c>
      <c r="U54" s="151">
        <v>0</v>
      </c>
      <c r="V54" s="151">
        <v>0</v>
      </c>
      <c r="W54" s="151">
        <v>0</v>
      </c>
      <c r="X54" s="151">
        <v>1</v>
      </c>
      <c r="Y54" s="151">
        <v>0</v>
      </c>
      <c r="Z54" s="151">
        <v>0</v>
      </c>
      <c r="AA54" s="151">
        <v>0</v>
      </c>
      <c r="AB54" s="151">
        <v>0</v>
      </c>
      <c r="AC54" s="151">
        <v>0</v>
      </c>
      <c r="AD54" s="151">
        <v>0</v>
      </c>
      <c r="AE54" s="151">
        <v>0</v>
      </c>
      <c r="AF54" s="151">
        <v>0</v>
      </c>
      <c r="AG54" s="151">
        <v>0</v>
      </c>
      <c r="AH54" s="151">
        <v>0</v>
      </c>
      <c r="AI54" s="151">
        <v>0</v>
      </c>
      <c r="AJ54" s="151">
        <v>0</v>
      </c>
      <c r="AK54" s="151">
        <v>0</v>
      </c>
      <c r="AL54" s="151">
        <v>0</v>
      </c>
      <c r="AM54" s="151">
        <v>0</v>
      </c>
      <c r="AN54" s="151">
        <v>0</v>
      </c>
      <c r="AO54" s="151">
        <v>0</v>
      </c>
      <c r="AP54" s="151">
        <v>0</v>
      </c>
      <c r="AQ54" s="151">
        <v>0</v>
      </c>
      <c r="AR54" s="151">
        <v>0</v>
      </c>
      <c r="AS54" s="151">
        <v>0</v>
      </c>
      <c r="AT54" s="151">
        <v>0</v>
      </c>
      <c r="AU54" s="151">
        <v>0</v>
      </c>
      <c r="AV54" s="151">
        <v>0</v>
      </c>
      <c r="AW54" s="151">
        <v>0</v>
      </c>
      <c r="AX54" s="151">
        <v>0</v>
      </c>
      <c r="AY54" s="151">
        <v>0</v>
      </c>
      <c r="AZ54" s="151">
        <v>0</v>
      </c>
      <c r="BA54" s="151">
        <v>0</v>
      </c>
      <c r="BB54" s="151">
        <v>0</v>
      </c>
      <c r="BC54" s="151">
        <v>0</v>
      </c>
      <c r="BD54" s="151">
        <v>0</v>
      </c>
      <c r="BE54" s="151">
        <v>0</v>
      </c>
      <c r="BF54" s="151">
        <v>0</v>
      </c>
      <c r="BG54" s="151">
        <v>0</v>
      </c>
      <c r="BH54" s="151">
        <v>0</v>
      </c>
      <c r="BI54" s="151">
        <v>0</v>
      </c>
      <c r="BJ54" s="151">
        <v>0</v>
      </c>
      <c r="BK54" s="151">
        <v>0</v>
      </c>
      <c r="BL54" s="151">
        <v>0</v>
      </c>
      <c r="BM54" s="151">
        <v>0</v>
      </c>
      <c r="BN54" s="151">
        <v>0</v>
      </c>
      <c r="BO54" s="151">
        <v>0</v>
      </c>
      <c r="BP54" s="151">
        <v>0</v>
      </c>
      <c r="BQ54" s="151">
        <v>0</v>
      </c>
      <c r="BR54" s="151">
        <v>0</v>
      </c>
      <c r="BS54" s="151">
        <v>0</v>
      </c>
      <c r="BT54" s="151">
        <v>0</v>
      </c>
      <c r="BU54" s="151">
        <v>0</v>
      </c>
      <c r="BV54" s="151">
        <v>0</v>
      </c>
      <c r="BW54" s="151">
        <v>0</v>
      </c>
      <c r="BX54" s="151">
        <v>0</v>
      </c>
      <c r="BY54" s="151">
        <v>0</v>
      </c>
      <c r="BZ54" s="151">
        <v>0</v>
      </c>
    </row>
    <row r="55" spans="1:78" s="137" customFormat="1">
      <c r="A55" s="130" t="s">
        <v>1110</v>
      </c>
      <c r="B55" s="127"/>
    </row>
    <row r="56" spans="1:78">
      <c r="A56" s="151">
        <v>10001</v>
      </c>
      <c r="B56" s="151">
        <v>300006</v>
      </c>
      <c r="C56" s="125" t="str">
        <f>VLOOKUP(B56,Multilingual!A:B,2,FALSE)</f>
        <v>공방일체</v>
      </c>
      <c r="D56" s="151">
        <v>0</v>
      </c>
      <c r="E56" s="151">
        <v>0</v>
      </c>
      <c r="F56" s="151">
        <v>0</v>
      </c>
      <c r="G56" s="151">
        <v>2</v>
      </c>
      <c r="H56" s="151">
        <v>0</v>
      </c>
      <c r="I56" s="151">
        <v>0</v>
      </c>
      <c r="J56" s="151">
        <v>0</v>
      </c>
      <c r="K56" s="151">
        <v>0</v>
      </c>
      <c r="L56" s="151">
        <v>0</v>
      </c>
      <c r="M56" s="151">
        <v>0</v>
      </c>
      <c r="N56" s="151">
        <v>0</v>
      </c>
      <c r="O56" s="151">
        <v>0</v>
      </c>
      <c r="P56" s="151">
        <v>0</v>
      </c>
      <c r="Q56" s="151">
        <v>0</v>
      </c>
      <c r="R56" s="151">
        <v>0</v>
      </c>
      <c r="S56" s="151">
        <v>0</v>
      </c>
      <c r="T56" s="151">
        <v>0</v>
      </c>
      <c r="U56" s="151">
        <v>0</v>
      </c>
      <c r="V56" s="151">
        <v>0</v>
      </c>
      <c r="W56" s="151">
        <v>0</v>
      </c>
      <c r="X56" s="151">
        <v>1</v>
      </c>
      <c r="Y56" s="151">
        <v>0</v>
      </c>
      <c r="Z56" s="151">
        <v>0</v>
      </c>
      <c r="AA56" s="151">
        <v>0</v>
      </c>
      <c r="AB56" s="151">
        <v>0</v>
      </c>
      <c r="AC56" s="151">
        <v>0</v>
      </c>
      <c r="AD56" s="151">
        <v>0</v>
      </c>
      <c r="AE56" s="151">
        <v>0</v>
      </c>
      <c r="AF56" s="151">
        <v>0</v>
      </c>
      <c r="AG56" s="151">
        <v>0</v>
      </c>
      <c r="AH56" s="151">
        <v>0</v>
      </c>
      <c r="AI56" s="151">
        <v>0</v>
      </c>
      <c r="AJ56" s="151">
        <v>0</v>
      </c>
      <c r="AK56" s="151">
        <v>0</v>
      </c>
      <c r="AL56" s="151">
        <v>0</v>
      </c>
      <c r="AM56" s="151">
        <v>0</v>
      </c>
      <c r="AN56" s="151">
        <v>0</v>
      </c>
      <c r="AO56" s="151">
        <v>0</v>
      </c>
      <c r="AP56" s="151">
        <v>0</v>
      </c>
      <c r="AQ56" s="151">
        <v>0</v>
      </c>
      <c r="AR56" s="151">
        <v>0</v>
      </c>
      <c r="AS56" s="151">
        <v>0</v>
      </c>
      <c r="AT56" s="151">
        <v>0</v>
      </c>
      <c r="AU56" s="151">
        <v>0</v>
      </c>
      <c r="AV56" s="151">
        <v>0</v>
      </c>
      <c r="AW56" s="151">
        <v>0</v>
      </c>
      <c r="AX56" s="151">
        <v>0</v>
      </c>
      <c r="AY56" s="151">
        <v>0</v>
      </c>
      <c r="AZ56" s="151">
        <v>0</v>
      </c>
      <c r="BA56" s="151">
        <v>0</v>
      </c>
      <c r="BB56" s="151">
        <v>0</v>
      </c>
      <c r="BC56" s="151">
        <v>0</v>
      </c>
      <c r="BD56" s="151">
        <v>0</v>
      </c>
      <c r="BE56" s="151">
        <v>0</v>
      </c>
      <c r="BF56" s="151">
        <v>0</v>
      </c>
      <c r="BG56" s="151">
        <v>0</v>
      </c>
      <c r="BH56" s="151">
        <v>0</v>
      </c>
      <c r="BI56" s="151">
        <v>0</v>
      </c>
      <c r="BJ56" s="151">
        <v>0</v>
      </c>
      <c r="BK56" s="151">
        <v>0</v>
      </c>
      <c r="BL56" s="151">
        <v>0</v>
      </c>
      <c r="BM56" s="151">
        <v>0</v>
      </c>
      <c r="BN56" s="151">
        <v>0</v>
      </c>
      <c r="BO56" s="151">
        <v>0</v>
      </c>
      <c r="BP56" s="151">
        <v>0</v>
      </c>
      <c r="BQ56" s="151">
        <v>0</v>
      </c>
      <c r="BR56" s="151">
        <v>0</v>
      </c>
      <c r="BS56" s="151">
        <v>0</v>
      </c>
      <c r="BT56" s="151">
        <v>0</v>
      </c>
      <c r="BU56" s="151">
        <v>0</v>
      </c>
      <c r="BV56" s="151">
        <v>0</v>
      </c>
      <c r="BW56" s="151">
        <v>0</v>
      </c>
      <c r="BX56" s="151">
        <v>0</v>
      </c>
      <c r="BY56" s="151">
        <v>0</v>
      </c>
      <c r="BZ56" s="151">
        <v>0</v>
      </c>
    </row>
    <row r="57" spans="1:78">
      <c r="A57" s="151">
        <f>A56+100</f>
        <v>10101</v>
      </c>
      <c r="B57" s="151">
        <v>300007</v>
      </c>
      <c r="C57" s="125" t="e">
        <f>VLOOKUP(B57,Multilingual!A:B,2,FALSE)</f>
        <v>#N/A</v>
      </c>
      <c r="D57" s="151">
        <v>0</v>
      </c>
      <c r="E57" s="151">
        <v>0</v>
      </c>
      <c r="F57" s="151">
        <v>0</v>
      </c>
      <c r="G57" s="151">
        <v>2</v>
      </c>
      <c r="H57" s="151">
        <v>0</v>
      </c>
      <c r="I57" s="151">
        <v>0</v>
      </c>
      <c r="J57" s="151">
        <v>0</v>
      </c>
      <c r="K57" s="151">
        <v>0</v>
      </c>
      <c r="L57" s="151">
        <v>0</v>
      </c>
      <c r="M57" s="151">
        <v>0</v>
      </c>
      <c r="N57" s="151">
        <v>0</v>
      </c>
      <c r="O57" s="151">
        <v>0</v>
      </c>
      <c r="P57" s="151">
        <v>0</v>
      </c>
      <c r="Q57" s="151">
        <v>0</v>
      </c>
      <c r="R57" s="151">
        <v>0</v>
      </c>
      <c r="S57" s="151">
        <v>0</v>
      </c>
      <c r="T57" s="151">
        <v>0</v>
      </c>
      <c r="U57" s="151">
        <v>0</v>
      </c>
      <c r="V57" s="151">
        <v>0</v>
      </c>
      <c r="W57" s="151">
        <v>0</v>
      </c>
      <c r="X57" s="151">
        <v>1</v>
      </c>
      <c r="Y57" s="151">
        <v>0</v>
      </c>
      <c r="Z57" s="151">
        <v>0</v>
      </c>
      <c r="AA57" s="151">
        <v>0</v>
      </c>
      <c r="AB57" s="151">
        <v>0</v>
      </c>
      <c r="AC57" s="151">
        <v>0</v>
      </c>
      <c r="AD57" s="151">
        <v>0</v>
      </c>
      <c r="AE57" s="151">
        <v>0</v>
      </c>
      <c r="AF57" s="151">
        <v>0</v>
      </c>
      <c r="AG57" s="151">
        <v>0</v>
      </c>
      <c r="AH57" s="151">
        <v>0</v>
      </c>
      <c r="AI57" s="151">
        <v>0</v>
      </c>
      <c r="AJ57" s="151">
        <v>0</v>
      </c>
      <c r="AK57" s="151">
        <v>0</v>
      </c>
      <c r="AL57" s="151">
        <v>0</v>
      </c>
      <c r="AM57" s="151">
        <v>0</v>
      </c>
      <c r="AN57" s="151">
        <v>0</v>
      </c>
      <c r="AO57" s="151">
        <v>0</v>
      </c>
      <c r="AP57" s="151">
        <v>0</v>
      </c>
      <c r="AQ57" s="151">
        <v>0</v>
      </c>
      <c r="AR57" s="151">
        <v>0</v>
      </c>
      <c r="AS57" s="151">
        <v>0</v>
      </c>
      <c r="AT57" s="151">
        <v>0</v>
      </c>
      <c r="AU57" s="151">
        <v>0</v>
      </c>
      <c r="AV57" s="151">
        <v>0</v>
      </c>
      <c r="AW57" s="151">
        <v>0</v>
      </c>
      <c r="AX57" s="151">
        <v>0</v>
      </c>
      <c r="AY57" s="151">
        <v>0</v>
      </c>
      <c r="AZ57" s="151">
        <v>0</v>
      </c>
      <c r="BA57" s="151">
        <v>0</v>
      </c>
      <c r="BB57" s="151">
        <v>0</v>
      </c>
      <c r="BC57" s="151">
        <v>0</v>
      </c>
      <c r="BD57" s="151">
        <v>0</v>
      </c>
      <c r="BE57" s="151">
        <v>0</v>
      </c>
      <c r="BF57" s="151">
        <v>0</v>
      </c>
      <c r="BG57" s="151">
        <v>0</v>
      </c>
      <c r="BH57" s="151">
        <v>0</v>
      </c>
      <c r="BI57" s="151">
        <v>0</v>
      </c>
      <c r="BJ57" s="151">
        <v>0</v>
      </c>
      <c r="BK57" s="151">
        <v>0</v>
      </c>
      <c r="BL57" s="151">
        <v>0</v>
      </c>
      <c r="BM57" s="151">
        <v>0</v>
      </c>
      <c r="BN57" s="151">
        <v>0</v>
      </c>
      <c r="BO57" s="151">
        <v>0</v>
      </c>
      <c r="BP57" s="151">
        <v>0</v>
      </c>
      <c r="BQ57" s="151">
        <v>0</v>
      </c>
      <c r="BR57" s="151">
        <v>0</v>
      </c>
      <c r="BS57" s="151">
        <v>0</v>
      </c>
      <c r="BT57" s="151">
        <v>0</v>
      </c>
      <c r="BU57" s="151">
        <v>0</v>
      </c>
      <c r="BV57" s="151">
        <v>0</v>
      </c>
      <c r="BW57" s="151">
        <v>0</v>
      </c>
      <c r="BX57" s="151">
        <v>0</v>
      </c>
      <c r="BY57" s="151">
        <v>0</v>
      </c>
      <c r="BZ57" s="151">
        <v>0</v>
      </c>
    </row>
    <row r="58" spans="1:78">
      <c r="A58" s="151">
        <f>A57+100</f>
        <v>10201</v>
      </c>
      <c r="B58" s="151">
        <v>300008</v>
      </c>
      <c r="C58" s="125" t="e">
        <f>VLOOKUP(B58,Multilingual!A:B,2,FALSE)</f>
        <v>#N/A</v>
      </c>
      <c r="D58" s="151">
        <v>0</v>
      </c>
      <c r="E58" s="151">
        <v>0</v>
      </c>
      <c r="F58" s="151">
        <v>0</v>
      </c>
      <c r="G58" s="151">
        <v>2</v>
      </c>
      <c r="H58" s="151">
        <v>0</v>
      </c>
      <c r="I58" s="151">
        <v>0</v>
      </c>
      <c r="J58" s="151">
        <v>0</v>
      </c>
      <c r="K58" s="151">
        <v>0</v>
      </c>
      <c r="L58" s="151">
        <v>0</v>
      </c>
      <c r="M58" s="151">
        <v>0</v>
      </c>
      <c r="N58" s="151">
        <v>0</v>
      </c>
      <c r="O58" s="151">
        <v>0</v>
      </c>
      <c r="P58" s="151">
        <v>0</v>
      </c>
      <c r="Q58" s="151">
        <v>0</v>
      </c>
      <c r="R58" s="151">
        <v>0</v>
      </c>
      <c r="S58" s="151">
        <v>0</v>
      </c>
      <c r="T58" s="151">
        <v>0</v>
      </c>
      <c r="U58" s="151">
        <v>0</v>
      </c>
      <c r="V58" s="151">
        <v>0</v>
      </c>
      <c r="W58" s="151">
        <v>0</v>
      </c>
      <c r="X58" s="151">
        <v>1</v>
      </c>
      <c r="Y58" s="151">
        <v>0</v>
      </c>
      <c r="Z58" s="151">
        <v>0</v>
      </c>
      <c r="AA58" s="151">
        <v>0</v>
      </c>
      <c r="AB58" s="151">
        <v>0</v>
      </c>
      <c r="AC58" s="151">
        <v>0</v>
      </c>
      <c r="AD58" s="151">
        <v>0</v>
      </c>
      <c r="AE58" s="151">
        <v>0</v>
      </c>
      <c r="AF58" s="151">
        <v>0</v>
      </c>
      <c r="AG58" s="151">
        <v>0</v>
      </c>
      <c r="AH58" s="151">
        <v>0</v>
      </c>
      <c r="AI58" s="151">
        <v>0</v>
      </c>
      <c r="AJ58" s="151">
        <v>0</v>
      </c>
      <c r="AK58" s="151">
        <v>0</v>
      </c>
      <c r="AL58" s="151">
        <v>0</v>
      </c>
      <c r="AM58" s="151">
        <v>0</v>
      </c>
      <c r="AN58" s="151">
        <v>0</v>
      </c>
      <c r="AO58" s="151">
        <v>0</v>
      </c>
      <c r="AP58" s="151">
        <v>0</v>
      </c>
      <c r="AQ58" s="151">
        <v>0</v>
      </c>
      <c r="AR58" s="151">
        <v>0</v>
      </c>
      <c r="AS58" s="151">
        <v>0</v>
      </c>
      <c r="AT58" s="151">
        <v>0</v>
      </c>
      <c r="AU58" s="151">
        <v>0</v>
      </c>
      <c r="AV58" s="151">
        <v>0</v>
      </c>
      <c r="AW58" s="151">
        <v>0</v>
      </c>
      <c r="AX58" s="151">
        <v>0</v>
      </c>
      <c r="AY58" s="151">
        <v>0</v>
      </c>
      <c r="AZ58" s="151">
        <v>0</v>
      </c>
      <c r="BA58" s="151">
        <v>0</v>
      </c>
      <c r="BB58" s="151">
        <v>0</v>
      </c>
      <c r="BC58" s="151">
        <v>0</v>
      </c>
      <c r="BD58" s="151">
        <v>0</v>
      </c>
      <c r="BE58" s="151">
        <v>0</v>
      </c>
      <c r="BF58" s="151">
        <v>0</v>
      </c>
      <c r="BG58" s="151">
        <v>0</v>
      </c>
      <c r="BH58" s="151">
        <v>0</v>
      </c>
      <c r="BI58" s="151">
        <v>0</v>
      </c>
      <c r="BJ58" s="151">
        <v>0</v>
      </c>
      <c r="BK58" s="151">
        <v>0</v>
      </c>
      <c r="BL58" s="151">
        <v>0</v>
      </c>
      <c r="BM58" s="151">
        <v>0</v>
      </c>
      <c r="BN58" s="151">
        <v>0</v>
      </c>
      <c r="BO58" s="151">
        <v>0</v>
      </c>
      <c r="BP58" s="151">
        <v>0</v>
      </c>
      <c r="BQ58" s="151">
        <v>0</v>
      </c>
      <c r="BR58" s="151">
        <v>0</v>
      </c>
      <c r="BS58" s="151">
        <v>0</v>
      </c>
      <c r="BT58" s="151">
        <v>0</v>
      </c>
      <c r="BU58" s="151">
        <v>0</v>
      </c>
      <c r="BV58" s="151">
        <v>0</v>
      </c>
      <c r="BW58" s="151">
        <v>0</v>
      </c>
      <c r="BX58" s="151">
        <v>0</v>
      </c>
      <c r="BY58" s="151">
        <v>0</v>
      </c>
      <c r="BZ58" s="151">
        <v>0</v>
      </c>
    </row>
    <row r="59" spans="1:78">
      <c r="A59" s="151">
        <f>A58+100</f>
        <v>10301</v>
      </c>
      <c r="B59" s="151">
        <v>300009</v>
      </c>
      <c r="C59" s="125" t="e">
        <f>VLOOKUP(B59,Multilingual!A:B,2,FALSE)</f>
        <v>#N/A</v>
      </c>
      <c r="D59" s="151">
        <v>0</v>
      </c>
      <c r="E59" s="151">
        <v>0</v>
      </c>
      <c r="F59" s="151">
        <v>0</v>
      </c>
      <c r="G59" s="151">
        <v>2</v>
      </c>
      <c r="H59" s="151">
        <v>0</v>
      </c>
      <c r="I59" s="151">
        <v>0</v>
      </c>
      <c r="J59" s="151">
        <v>0</v>
      </c>
      <c r="K59" s="151">
        <v>0</v>
      </c>
      <c r="L59" s="151">
        <v>0</v>
      </c>
      <c r="M59" s="151">
        <v>0</v>
      </c>
      <c r="N59" s="151">
        <v>0</v>
      </c>
      <c r="O59" s="151">
        <v>0</v>
      </c>
      <c r="P59" s="151">
        <v>0</v>
      </c>
      <c r="Q59" s="151">
        <v>0</v>
      </c>
      <c r="R59" s="151">
        <v>0</v>
      </c>
      <c r="S59" s="151">
        <v>0</v>
      </c>
      <c r="T59" s="151">
        <v>0</v>
      </c>
      <c r="U59" s="151">
        <v>0</v>
      </c>
      <c r="V59" s="151">
        <v>0</v>
      </c>
      <c r="W59" s="151">
        <v>0</v>
      </c>
      <c r="X59" s="151">
        <v>1</v>
      </c>
      <c r="Y59" s="151">
        <v>0</v>
      </c>
      <c r="Z59" s="151">
        <v>0</v>
      </c>
      <c r="AA59" s="151">
        <v>0</v>
      </c>
      <c r="AB59" s="151">
        <v>0</v>
      </c>
      <c r="AC59" s="151">
        <v>0</v>
      </c>
      <c r="AD59" s="151">
        <v>0</v>
      </c>
      <c r="AE59" s="151">
        <v>0</v>
      </c>
      <c r="AF59" s="151">
        <v>0</v>
      </c>
      <c r="AG59" s="151">
        <v>0</v>
      </c>
      <c r="AH59" s="151">
        <v>0</v>
      </c>
      <c r="AI59" s="151">
        <v>0</v>
      </c>
      <c r="AJ59" s="151">
        <v>0</v>
      </c>
      <c r="AK59" s="151">
        <v>0</v>
      </c>
      <c r="AL59" s="151">
        <v>0</v>
      </c>
      <c r="AM59" s="151">
        <v>0</v>
      </c>
      <c r="AN59" s="151">
        <v>0</v>
      </c>
      <c r="AO59" s="151">
        <v>0</v>
      </c>
      <c r="AP59" s="151">
        <v>0</v>
      </c>
      <c r="AQ59" s="151">
        <v>0</v>
      </c>
      <c r="AR59" s="151">
        <v>0</v>
      </c>
      <c r="AS59" s="151">
        <v>0</v>
      </c>
      <c r="AT59" s="151">
        <v>0</v>
      </c>
      <c r="AU59" s="151">
        <v>0</v>
      </c>
      <c r="AV59" s="151">
        <v>0</v>
      </c>
      <c r="AW59" s="151">
        <v>0</v>
      </c>
      <c r="AX59" s="151">
        <v>0</v>
      </c>
      <c r="AY59" s="151">
        <v>0</v>
      </c>
      <c r="AZ59" s="151">
        <v>0</v>
      </c>
      <c r="BA59" s="151">
        <v>0</v>
      </c>
      <c r="BB59" s="151">
        <v>0</v>
      </c>
      <c r="BC59" s="151">
        <v>0</v>
      </c>
      <c r="BD59" s="151">
        <v>0</v>
      </c>
      <c r="BE59" s="151">
        <v>0</v>
      </c>
      <c r="BF59" s="151">
        <v>0</v>
      </c>
      <c r="BG59" s="151">
        <v>0</v>
      </c>
      <c r="BH59" s="151">
        <v>0</v>
      </c>
      <c r="BI59" s="151">
        <v>0</v>
      </c>
      <c r="BJ59" s="151">
        <v>0</v>
      </c>
      <c r="BK59" s="151">
        <v>0</v>
      </c>
      <c r="BL59" s="151">
        <v>0</v>
      </c>
      <c r="BM59" s="151">
        <v>0</v>
      </c>
      <c r="BN59" s="151">
        <v>0</v>
      </c>
      <c r="BO59" s="151">
        <v>0</v>
      </c>
      <c r="BP59" s="151">
        <v>0</v>
      </c>
      <c r="BQ59" s="151">
        <v>0</v>
      </c>
      <c r="BR59" s="151">
        <v>0</v>
      </c>
      <c r="BS59" s="151">
        <v>0</v>
      </c>
      <c r="BT59" s="151">
        <v>0</v>
      </c>
      <c r="BU59" s="151">
        <v>0</v>
      </c>
      <c r="BV59" s="151">
        <v>0</v>
      </c>
      <c r="BW59" s="151">
        <v>0</v>
      </c>
      <c r="BX59" s="151">
        <v>0</v>
      </c>
      <c r="BY59" s="151">
        <v>0</v>
      </c>
      <c r="BZ59" s="151">
        <v>0</v>
      </c>
    </row>
    <row r="60" spans="1:78">
      <c r="A60" s="151">
        <f>A59+100</f>
        <v>10401</v>
      </c>
      <c r="B60" s="151">
        <v>300010</v>
      </c>
      <c r="C60" s="125" t="e">
        <f>VLOOKUP(B60,Multilingual!A:B,2,FALSE)</f>
        <v>#N/A</v>
      </c>
      <c r="D60" s="151">
        <v>0</v>
      </c>
      <c r="E60" s="151">
        <v>0</v>
      </c>
      <c r="F60" s="151">
        <v>0</v>
      </c>
      <c r="G60" s="151">
        <v>2</v>
      </c>
      <c r="H60" s="151">
        <v>0</v>
      </c>
      <c r="I60" s="151">
        <v>0</v>
      </c>
      <c r="J60" s="151">
        <v>0</v>
      </c>
      <c r="K60" s="151">
        <v>0</v>
      </c>
      <c r="L60" s="151">
        <v>0</v>
      </c>
      <c r="M60" s="151">
        <v>0</v>
      </c>
      <c r="N60" s="151">
        <v>0</v>
      </c>
      <c r="O60" s="151">
        <v>0</v>
      </c>
      <c r="P60" s="151">
        <v>0</v>
      </c>
      <c r="Q60" s="151">
        <v>0</v>
      </c>
      <c r="R60" s="151">
        <v>0</v>
      </c>
      <c r="S60" s="151">
        <v>0</v>
      </c>
      <c r="T60" s="151">
        <v>0</v>
      </c>
      <c r="U60" s="151">
        <v>0</v>
      </c>
      <c r="V60" s="151">
        <v>0</v>
      </c>
      <c r="W60" s="151">
        <v>0</v>
      </c>
      <c r="X60" s="151">
        <v>1</v>
      </c>
      <c r="Y60" s="151">
        <v>0</v>
      </c>
      <c r="Z60" s="151">
        <v>0</v>
      </c>
      <c r="AA60" s="151">
        <v>0</v>
      </c>
      <c r="AB60" s="151">
        <v>0</v>
      </c>
      <c r="AC60" s="151">
        <v>0</v>
      </c>
      <c r="AD60" s="151">
        <v>0</v>
      </c>
      <c r="AE60" s="151">
        <v>0</v>
      </c>
      <c r="AF60" s="151">
        <v>0</v>
      </c>
      <c r="AG60" s="151">
        <v>0</v>
      </c>
      <c r="AH60" s="151">
        <v>0</v>
      </c>
      <c r="AI60" s="151">
        <v>0</v>
      </c>
      <c r="AJ60" s="151">
        <v>0</v>
      </c>
      <c r="AK60" s="151">
        <v>0</v>
      </c>
      <c r="AL60" s="151">
        <v>0</v>
      </c>
      <c r="AM60" s="151">
        <v>0</v>
      </c>
      <c r="AN60" s="151">
        <v>0</v>
      </c>
      <c r="AO60" s="151">
        <v>0</v>
      </c>
      <c r="AP60" s="151">
        <v>0</v>
      </c>
      <c r="AQ60" s="151">
        <v>0</v>
      </c>
      <c r="AR60" s="151">
        <v>0</v>
      </c>
      <c r="AS60" s="151">
        <v>0</v>
      </c>
      <c r="AT60" s="151">
        <v>0</v>
      </c>
      <c r="AU60" s="151">
        <v>0</v>
      </c>
      <c r="AV60" s="151">
        <v>0</v>
      </c>
      <c r="AW60" s="151">
        <v>0</v>
      </c>
      <c r="AX60" s="151">
        <v>0</v>
      </c>
      <c r="AY60" s="151">
        <v>0</v>
      </c>
      <c r="AZ60" s="151">
        <v>0</v>
      </c>
      <c r="BA60" s="151">
        <v>0</v>
      </c>
      <c r="BB60" s="151">
        <v>0</v>
      </c>
      <c r="BC60" s="151">
        <v>0</v>
      </c>
      <c r="BD60" s="151">
        <v>0</v>
      </c>
      <c r="BE60" s="151">
        <v>0</v>
      </c>
      <c r="BF60" s="151">
        <v>0</v>
      </c>
      <c r="BG60" s="151">
        <v>0</v>
      </c>
      <c r="BH60" s="151">
        <v>0</v>
      </c>
      <c r="BI60" s="151">
        <v>0</v>
      </c>
      <c r="BJ60" s="151">
        <v>0</v>
      </c>
      <c r="BK60" s="151">
        <v>0</v>
      </c>
      <c r="BL60" s="151">
        <v>0</v>
      </c>
      <c r="BM60" s="151">
        <v>0</v>
      </c>
      <c r="BN60" s="151">
        <v>0</v>
      </c>
      <c r="BO60" s="151">
        <v>0</v>
      </c>
      <c r="BP60" s="151">
        <v>0</v>
      </c>
      <c r="BQ60" s="151">
        <v>0</v>
      </c>
      <c r="BR60" s="151">
        <v>0</v>
      </c>
      <c r="BS60" s="151">
        <v>0</v>
      </c>
      <c r="BT60" s="151">
        <v>0</v>
      </c>
      <c r="BU60" s="151">
        <v>0</v>
      </c>
      <c r="BV60" s="151">
        <v>0</v>
      </c>
      <c r="BW60" s="151">
        <v>0</v>
      </c>
      <c r="BX60" s="151">
        <v>0</v>
      </c>
      <c r="BY60" s="151">
        <v>0</v>
      </c>
      <c r="BZ60" s="151">
        <v>0</v>
      </c>
    </row>
    <row r="61" spans="1:78" s="137" customFormat="1">
      <c r="A61" s="130" t="s">
        <v>1111</v>
      </c>
      <c r="B61" s="127"/>
    </row>
    <row r="62" spans="1:78">
      <c r="A62" s="149">
        <v>20001</v>
      </c>
      <c r="B62" s="154">
        <v>300011</v>
      </c>
      <c r="C62" s="128" t="e">
        <f>VLOOKUP(B62,Multilingual!A:B,2,FALSE)</f>
        <v>#N/A</v>
      </c>
      <c r="D62" s="154">
        <v>0</v>
      </c>
      <c r="E62" s="154">
        <v>0</v>
      </c>
      <c r="F62" s="154">
        <v>0</v>
      </c>
      <c r="G62" s="154">
        <v>3</v>
      </c>
      <c r="H62" s="154">
        <v>1</v>
      </c>
      <c r="I62" s="154">
        <v>1</v>
      </c>
      <c r="J62" s="154">
        <v>0</v>
      </c>
      <c r="K62" s="154">
        <v>0</v>
      </c>
      <c r="L62" s="154">
        <v>0</v>
      </c>
      <c r="M62" s="154">
        <v>0</v>
      </c>
      <c r="N62" s="154">
        <v>300</v>
      </c>
      <c r="O62" s="154">
        <v>0</v>
      </c>
      <c r="P62" s="154"/>
      <c r="Q62" s="136" t="s">
        <v>632</v>
      </c>
      <c r="R62" s="154"/>
      <c r="S62" s="154">
        <v>0</v>
      </c>
      <c r="T62" s="149">
        <v>0</v>
      </c>
      <c r="U62" s="149">
        <v>0</v>
      </c>
      <c r="V62" s="149">
        <v>0</v>
      </c>
      <c r="W62" s="149">
        <v>0</v>
      </c>
      <c r="X62" s="149">
        <v>2</v>
      </c>
      <c r="Y62" s="149">
        <v>0</v>
      </c>
      <c r="Z62" s="149">
        <v>0</v>
      </c>
      <c r="AA62" s="149">
        <v>0</v>
      </c>
      <c r="AB62" s="149">
        <v>0</v>
      </c>
      <c r="AC62" s="149">
        <v>0</v>
      </c>
      <c r="AD62" s="149">
        <v>0</v>
      </c>
      <c r="AE62" s="149">
        <v>0</v>
      </c>
      <c r="AF62" s="149">
        <v>0</v>
      </c>
      <c r="AG62" s="149">
        <v>0</v>
      </c>
      <c r="AH62" s="149">
        <v>0</v>
      </c>
      <c r="AI62" s="149">
        <v>0</v>
      </c>
      <c r="AJ62" s="149">
        <v>0</v>
      </c>
      <c r="AK62" s="149">
        <v>5000</v>
      </c>
      <c r="AL62" s="149">
        <v>0</v>
      </c>
      <c r="AM62" s="149">
        <v>0</v>
      </c>
      <c r="AN62" s="149">
        <v>0</v>
      </c>
      <c r="AO62" s="149">
        <v>0</v>
      </c>
      <c r="AP62" s="149">
        <v>0</v>
      </c>
      <c r="AQ62" s="149">
        <v>0</v>
      </c>
      <c r="AR62" s="149">
        <v>0</v>
      </c>
      <c r="AS62" s="149">
        <v>0</v>
      </c>
      <c r="AT62" s="149">
        <v>0</v>
      </c>
      <c r="AU62" s="149">
        <v>0</v>
      </c>
      <c r="AV62" s="149">
        <v>0</v>
      </c>
      <c r="AW62" s="149">
        <v>0</v>
      </c>
      <c r="AX62" s="149">
        <v>0</v>
      </c>
      <c r="AY62" s="149">
        <v>0</v>
      </c>
      <c r="AZ62" s="149">
        <v>0</v>
      </c>
      <c r="BA62" s="149">
        <v>0</v>
      </c>
      <c r="BB62" s="149">
        <v>0</v>
      </c>
      <c r="BC62" s="149">
        <v>0</v>
      </c>
      <c r="BD62" s="149">
        <v>0</v>
      </c>
      <c r="BE62" s="149">
        <v>0</v>
      </c>
      <c r="BF62" s="149">
        <v>0</v>
      </c>
      <c r="BG62" s="149">
        <v>0</v>
      </c>
      <c r="BH62" s="149">
        <v>0</v>
      </c>
      <c r="BI62" s="149">
        <v>0</v>
      </c>
      <c r="BJ62" s="149">
        <v>0</v>
      </c>
      <c r="BK62" s="149">
        <v>0</v>
      </c>
      <c r="BL62" s="149">
        <v>0</v>
      </c>
      <c r="BM62" s="149">
        <v>0</v>
      </c>
      <c r="BN62" s="149">
        <v>0</v>
      </c>
      <c r="BO62" s="149">
        <v>0</v>
      </c>
      <c r="BP62" s="149">
        <v>0</v>
      </c>
      <c r="BQ62" s="149">
        <v>0</v>
      </c>
      <c r="BR62" s="149">
        <v>0</v>
      </c>
      <c r="BS62" s="149">
        <v>0</v>
      </c>
      <c r="BT62" s="149">
        <v>0</v>
      </c>
      <c r="BU62" s="149">
        <v>0</v>
      </c>
      <c r="BV62" s="149">
        <v>0</v>
      </c>
      <c r="BW62" s="149">
        <v>0</v>
      </c>
      <c r="BX62" s="149">
        <v>0</v>
      </c>
      <c r="BY62" s="149">
        <v>0</v>
      </c>
      <c r="BZ62" s="149">
        <v>0</v>
      </c>
    </row>
    <row r="63" spans="1:78">
      <c r="A63" s="149">
        <f>A62+100</f>
        <v>20101</v>
      </c>
      <c r="B63" s="154">
        <v>300012</v>
      </c>
      <c r="C63" s="128" t="e">
        <f>VLOOKUP(B63,Multilingual!A:B,2,FALSE)</f>
        <v>#N/A</v>
      </c>
      <c r="D63" s="154">
        <v>0</v>
      </c>
      <c r="E63" s="154">
        <v>0</v>
      </c>
      <c r="F63" s="154">
        <v>0</v>
      </c>
      <c r="G63" s="154">
        <v>3</v>
      </c>
      <c r="H63" s="154">
        <v>1</v>
      </c>
      <c r="I63" s="154">
        <v>1</v>
      </c>
      <c r="J63" s="154">
        <v>0</v>
      </c>
      <c r="K63" s="154">
        <v>0</v>
      </c>
      <c r="L63" s="154">
        <v>0</v>
      </c>
      <c r="M63" s="154">
        <v>0</v>
      </c>
      <c r="N63" s="136">
        <v>12000</v>
      </c>
      <c r="O63" s="136">
        <v>25</v>
      </c>
      <c r="P63" s="144" t="s">
        <v>633</v>
      </c>
      <c r="Q63" s="136"/>
      <c r="R63" s="136"/>
      <c r="S63" s="154">
        <v>510401</v>
      </c>
      <c r="T63" s="149">
        <v>0</v>
      </c>
      <c r="U63" s="149">
        <v>0</v>
      </c>
      <c r="V63" s="149">
        <v>0</v>
      </c>
      <c r="W63" s="149">
        <v>0</v>
      </c>
      <c r="X63" s="149">
        <v>2</v>
      </c>
      <c r="Y63" s="149">
        <v>0</v>
      </c>
      <c r="Z63" s="149">
        <v>0</v>
      </c>
      <c r="AA63" s="149">
        <v>0</v>
      </c>
      <c r="AB63" s="149">
        <v>0</v>
      </c>
      <c r="AC63" s="149">
        <v>0</v>
      </c>
      <c r="AD63" s="149">
        <v>0</v>
      </c>
      <c r="AE63" s="149">
        <v>0</v>
      </c>
      <c r="AF63" s="149">
        <v>0</v>
      </c>
      <c r="AG63" s="149">
        <v>0</v>
      </c>
      <c r="AH63" s="149">
        <v>0</v>
      </c>
      <c r="AI63" s="149">
        <v>0</v>
      </c>
      <c r="AJ63" s="149">
        <v>0</v>
      </c>
      <c r="AK63" s="149">
        <v>21500</v>
      </c>
      <c r="AL63" s="149">
        <v>0</v>
      </c>
      <c r="AM63" s="149">
        <v>0</v>
      </c>
      <c r="AN63" s="149">
        <v>0</v>
      </c>
      <c r="AO63" s="149">
        <v>0</v>
      </c>
      <c r="AP63" s="149">
        <v>0</v>
      </c>
      <c r="AQ63" s="149">
        <v>0</v>
      </c>
      <c r="AR63" s="149">
        <v>0</v>
      </c>
      <c r="AS63" s="149">
        <v>0</v>
      </c>
      <c r="AT63" s="149">
        <v>0</v>
      </c>
      <c r="AU63" s="149">
        <v>0</v>
      </c>
      <c r="AV63" s="149">
        <v>0</v>
      </c>
      <c r="AW63" s="149">
        <v>0</v>
      </c>
      <c r="AX63" s="149">
        <v>0</v>
      </c>
      <c r="AY63" s="149">
        <v>0</v>
      </c>
      <c r="AZ63" s="149">
        <v>0</v>
      </c>
      <c r="BA63" s="149">
        <v>0</v>
      </c>
      <c r="BB63" s="149">
        <v>0</v>
      </c>
      <c r="BC63" s="149">
        <v>0</v>
      </c>
      <c r="BD63" s="149">
        <v>0</v>
      </c>
      <c r="BE63" s="149">
        <v>0</v>
      </c>
      <c r="BF63" s="149">
        <v>0</v>
      </c>
      <c r="BG63" s="149">
        <v>0</v>
      </c>
      <c r="BH63" s="149">
        <v>0</v>
      </c>
      <c r="BI63" s="149">
        <v>0</v>
      </c>
      <c r="BJ63" s="149">
        <v>0</v>
      </c>
      <c r="BK63" s="149">
        <v>0</v>
      </c>
      <c r="BL63" s="149">
        <v>0</v>
      </c>
      <c r="BM63" s="149">
        <v>0</v>
      </c>
      <c r="BN63" s="149">
        <v>0</v>
      </c>
      <c r="BO63" s="149">
        <v>0</v>
      </c>
      <c r="BP63" s="149">
        <v>0</v>
      </c>
      <c r="BQ63" s="149">
        <v>0</v>
      </c>
      <c r="BR63" s="149">
        <v>0</v>
      </c>
      <c r="BS63" s="149">
        <v>0</v>
      </c>
      <c r="BT63" s="149">
        <v>0</v>
      </c>
      <c r="BU63" s="149">
        <v>0</v>
      </c>
      <c r="BV63" s="149">
        <v>0</v>
      </c>
      <c r="BW63" s="149">
        <v>0</v>
      </c>
      <c r="BX63" s="149">
        <v>0</v>
      </c>
      <c r="BY63" s="149">
        <v>0</v>
      </c>
      <c r="BZ63" s="149">
        <v>0</v>
      </c>
    </row>
    <row r="64" spans="1:78">
      <c r="A64" s="149">
        <f>A63+1</f>
        <v>20102</v>
      </c>
      <c r="B64" s="154">
        <f>B63</f>
        <v>300012</v>
      </c>
      <c r="C64" s="128" t="e">
        <f>VLOOKUP(B64,Multilingual!A:B,2,FALSE)</f>
        <v>#N/A</v>
      </c>
      <c r="D64" s="154">
        <v>0</v>
      </c>
      <c r="E64" s="154">
        <v>0</v>
      </c>
      <c r="F64" s="154">
        <f>A63</f>
        <v>20101</v>
      </c>
      <c r="G64" s="154">
        <v>3</v>
      </c>
      <c r="H64" s="154">
        <v>1</v>
      </c>
      <c r="I64" s="154">
        <v>1</v>
      </c>
      <c r="J64" s="154">
        <v>0</v>
      </c>
      <c r="K64" s="154">
        <v>0</v>
      </c>
      <c r="L64" s="154">
        <v>0</v>
      </c>
      <c r="M64" s="154">
        <v>0</v>
      </c>
      <c r="N64" s="136">
        <v>12000</v>
      </c>
      <c r="O64" s="136">
        <v>25</v>
      </c>
      <c r="P64" s="144" t="s">
        <v>633</v>
      </c>
      <c r="Q64" s="136"/>
      <c r="R64" s="136"/>
      <c r="S64" s="154">
        <v>510402</v>
      </c>
      <c r="T64" s="149">
        <v>0</v>
      </c>
      <c r="U64" s="149">
        <v>0</v>
      </c>
      <c r="V64" s="149">
        <v>0</v>
      </c>
      <c r="W64" s="149">
        <v>0</v>
      </c>
      <c r="X64" s="149">
        <v>2</v>
      </c>
      <c r="Y64" s="149">
        <v>0</v>
      </c>
      <c r="Z64" s="149">
        <v>0</v>
      </c>
      <c r="AA64" s="149">
        <v>0</v>
      </c>
      <c r="AB64" s="149">
        <v>0</v>
      </c>
      <c r="AC64" s="149">
        <v>0</v>
      </c>
      <c r="AD64" s="149">
        <v>0</v>
      </c>
      <c r="AE64" s="149">
        <v>0</v>
      </c>
      <c r="AF64" s="149">
        <v>0</v>
      </c>
      <c r="AG64" s="149">
        <v>0</v>
      </c>
      <c r="AH64" s="149">
        <v>0</v>
      </c>
      <c r="AI64" s="149">
        <v>0</v>
      </c>
      <c r="AJ64" s="149">
        <v>0</v>
      </c>
      <c r="AK64" s="149">
        <f>AK63+150</f>
        <v>21650</v>
      </c>
      <c r="AL64" s="149">
        <v>0</v>
      </c>
      <c r="AM64" s="149">
        <v>0</v>
      </c>
      <c r="AN64" s="149">
        <v>0</v>
      </c>
      <c r="AO64" s="149">
        <v>0</v>
      </c>
      <c r="AP64" s="149">
        <v>0</v>
      </c>
      <c r="AQ64" s="149">
        <v>0</v>
      </c>
      <c r="AR64" s="149">
        <v>0</v>
      </c>
      <c r="AS64" s="149">
        <v>0</v>
      </c>
      <c r="AT64" s="149">
        <v>0</v>
      </c>
      <c r="AU64" s="149">
        <v>0</v>
      </c>
      <c r="AV64" s="149">
        <v>0</v>
      </c>
      <c r="AW64" s="149">
        <v>0</v>
      </c>
      <c r="AX64" s="149">
        <v>0</v>
      </c>
      <c r="AY64" s="149">
        <v>0</v>
      </c>
      <c r="AZ64" s="149">
        <v>0</v>
      </c>
      <c r="BA64" s="149">
        <v>0</v>
      </c>
      <c r="BB64" s="149">
        <v>0</v>
      </c>
      <c r="BC64" s="149">
        <v>0</v>
      </c>
      <c r="BD64" s="149">
        <v>0</v>
      </c>
      <c r="BE64" s="149">
        <v>0</v>
      </c>
      <c r="BF64" s="149">
        <v>0</v>
      </c>
      <c r="BG64" s="149">
        <v>0</v>
      </c>
      <c r="BH64" s="149">
        <v>0</v>
      </c>
      <c r="BI64" s="149">
        <v>0</v>
      </c>
      <c r="BJ64" s="149">
        <v>0</v>
      </c>
      <c r="BK64" s="149">
        <v>0</v>
      </c>
      <c r="BL64" s="149">
        <v>0</v>
      </c>
      <c r="BM64" s="149">
        <v>0</v>
      </c>
      <c r="BN64" s="149">
        <v>0</v>
      </c>
      <c r="BO64" s="149">
        <v>0</v>
      </c>
      <c r="BP64" s="149">
        <v>0</v>
      </c>
      <c r="BQ64" s="149">
        <v>0</v>
      </c>
      <c r="BR64" s="149">
        <v>0</v>
      </c>
      <c r="BS64" s="149">
        <v>0</v>
      </c>
      <c r="BT64" s="149">
        <v>0</v>
      </c>
      <c r="BU64" s="149">
        <v>0</v>
      </c>
      <c r="BV64" s="149">
        <v>0</v>
      </c>
      <c r="BW64" s="149">
        <v>0</v>
      </c>
      <c r="BX64" s="149">
        <v>0</v>
      </c>
      <c r="BY64" s="149">
        <v>0</v>
      </c>
      <c r="BZ64" s="149">
        <v>0</v>
      </c>
    </row>
    <row r="65" spans="1:78">
      <c r="A65" s="149">
        <f t="shared" ref="A65:A72" si="17">A64+1</f>
        <v>20103</v>
      </c>
      <c r="B65" s="154">
        <f t="shared" ref="B65:B72" si="18">B64</f>
        <v>300012</v>
      </c>
      <c r="C65" s="128" t="e">
        <f>VLOOKUP(B65,Multilingual!A:B,2,FALSE)</f>
        <v>#N/A</v>
      </c>
      <c r="D65" s="154">
        <v>0</v>
      </c>
      <c r="E65" s="154">
        <v>0</v>
      </c>
      <c r="F65" s="154">
        <f>F64+1</f>
        <v>20102</v>
      </c>
      <c r="G65" s="154">
        <v>3</v>
      </c>
      <c r="H65" s="154">
        <v>1</v>
      </c>
      <c r="I65" s="154">
        <v>1</v>
      </c>
      <c r="J65" s="154">
        <v>0</v>
      </c>
      <c r="K65" s="154">
        <v>0</v>
      </c>
      <c r="L65" s="154">
        <v>0</v>
      </c>
      <c r="M65" s="154">
        <v>0</v>
      </c>
      <c r="N65" s="136">
        <v>12000</v>
      </c>
      <c r="O65" s="136">
        <v>25</v>
      </c>
      <c r="P65" s="144" t="s">
        <v>633</v>
      </c>
      <c r="Q65" s="136"/>
      <c r="R65" s="136"/>
      <c r="S65" s="154">
        <v>510403</v>
      </c>
      <c r="T65" s="149">
        <v>0</v>
      </c>
      <c r="U65" s="149">
        <v>0</v>
      </c>
      <c r="V65" s="149">
        <v>0</v>
      </c>
      <c r="W65" s="149">
        <v>0</v>
      </c>
      <c r="X65" s="149">
        <v>2</v>
      </c>
      <c r="Y65" s="149">
        <v>0</v>
      </c>
      <c r="Z65" s="149">
        <v>0</v>
      </c>
      <c r="AA65" s="149">
        <v>0</v>
      </c>
      <c r="AB65" s="149">
        <v>0</v>
      </c>
      <c r="AC65" s="149">
        <v>0</v>
      </c>
      <c r="AD65" s="149">
        <v>0</v>
      </c>
      <c r="AE65" s="149">
        <v>0</v>
      </c>
      <c r="AF65" s="149">
        <v>0</v>
      </c>
      <c r="AG65" s="149">
        <v>0</v>
      </c>
      <c r="AH65" s="149">
        <v>0</v>
      </c>
      <c r="AI65" s="149">
        <v>0</v>
      </c>
      <c r="AJ65" s="149">
        <v>0</v>
      </c>
      <c r="AK65" s="149">
        <f t="shared" ref="AK65:AK72" si="19">AK64+150</f>
        <v>21800</v>
      </c>
      <c r="AL65" s="149">
        <v>0</v>
      </c>
      <c r="AM65" s="149">
        <v>0</v>
      </c>
      <c r="AN65" s="149">
        <v>0</v>
      </c>
      <c r="AO65" s="149">
        <v>0</v>
      </c>
      <c r="AP65" s="149">
        <v>0</v>
      </c>
      <c r="AQ65" s="149">
        <v>0</v>
      </c>
      <c r="AR65" s="149">
        <v>0</v>
      </c>
      <c r="AS65" s="149">
        <v>0</v>
      </c>
      <c r="AT65" s="149">
        <v>0</v>
      </c>
      <c r="AU65" s="149">
        <v>0</v>
      </c>
      <c r="AV65" s="149">
        <v>0</v>
      </c>
      <c r="AW65" s="149">
        <v>0</v>
      </c>
      <c r="AX65" s="149">
        <v>0</v>
      </c>
      <c r="AY65" s="149">
        <v>0</v>
      </c>
      <c r="AZ65" s="149">
        <v>0</v>
      </c>
      <c r="BA65" s="149">
        <v>0</v>
      </c>
      <c r="BB65" s="149">
        <v>0</v>
      </c>
      <c r="BC65" s="149">
        <v>0</v>
      </c>
      <c r="BD65" s="149">
        <v>0</v>
      </c>
      <c r="BE65" s="149">
        <v>0</v>
      </c>
      <c r="BF65" s="149">
        <v>0</v>
      </c>
      <c r="BG65" s="149">
        <v>0</v>
      </c>
      <c r="BH65" s="149">
        <v>0</v>
      </c>
      <c r="BI65" s="149">
        <v>0</v>
      </c>
      <c r="BJ65" s="149">
        <v>0</v>
      </c>
      <c r="BK65" s="149">
        <v>0</v>
      </c>
      <c r="BL65" s="149">
        <v>0</v>
      </c>
      <c r="BM65" s="149">
        <v>0</v>
      </c>
      <c r="BN65" s="149">
        <v>0</v>
      </c>
      <c r="BO65" s="149">
        <v>0</v>
      </c>
      <c r="BP65" s="149">
        <v>0</v>
      </c>
      <c r="BQ65" s="149">
        <v>0</v>
      </c>
      <c r="BR65" s="149">
        <v>0</v>
      </c>
      <c r="BS65" s="149">
        <v>0</v>
      </c>
      <c r="BT65" s="149">
        <v>0</v>
      </c>
      <c r="BU65" s="149">
        <v>0</v>
      </c>
      <c r="BV65" s="149">
        <v>0</v>
      </c>
      <c r="BW65" s="149">
        <v>0</v>
      </c>
      <c r="BX65" s="149">
        <v>0</v>
      </c>
      <c r="BY65" s="149">
        <v>0</v>
      </c>
      <c r="BZ65" s="149">
        <v>0</v>
      </c>
    </row>
    <row r="66" spans="1:78">
      <c r="A66" s="149">
        <f t="shared" si="17"/>
        <v>20104</v>
      </c>
      <c r="B66" s="154">
        <f t="shared" si="18"/>
        <v>300012</v>
      </c>
      <c r="C66" s="128" t="e">
        <f>VLOOKUP(B66,Multilingual!A:B,2,FALSE)</f>
        <v>#N/A</v>
      </c>
      <c r="D66" s="154">
        <v>0</v>
      </c>
      <c r="E66" s="154">
        <v>0</v>
      </c>
      <c r="F66" s="154">
        <f t="shared" ref="F66:F72" si="20">F65+1</f>
        <v>20103</v>
      </c>
      <c r="G66" s="154">
        <v>3</v>
      </c>
      <c r="H66" s="154">
        <v>1</v>
      </c>
      <c r="I66" s="154">
        <v>1</v>
      </c>
      <c r="J66" s="154">
        <v>0</v>
      </c>
      <c r="K66" s="154">
        <v>0</v>
      </c>
      <c r="L66" s="154">
        <v>0</v>
      </c>
      <c r="M66" s="154">
        <v>0</v>
      </c>
      <c r="N66" s="136">
        <v>12000</v>
      </c>
      <c r="O66" s="136">
        <v>25</v>
      </c>
      <c r="P66" s="144" t="s">
        <v>633</v>
      </c>
      <c r="Q66" s="136"/>
      <c r="R66" s="136"/>
      <c r="S66" s="154">
        <v>510404</v>
      </c>
      <c r="T66" s="149">
        <v>0</v>
      </c>
      <c r="U66" s="149">
        <v>0</v>
      </c>
      <c r="V66" s="149">
        <v>0</v>
      </c>
      <c r="W66" s="149">
        <v>0</v>
      </c>
      <c r="X66" s="149">
        <v>2</v>
      </c>
      <c r="Y66" s="149">
        <v>0</v>
      </c>
      <c r="Z66" s="149">
        <v>0</v>
      </c>
      <c r="AA66" s="149">
        <v>0</v>
      </c>
      <c r="AB66" s="149">
        <v>0</v>
      </c>
      <c r="AC66" s="149">
        <v>0</v>
      </c>
      <c r="AD66" s="149">
        <v>0</v>
      </c>
      <c r="AE66" s="149">
        <v>0</v>
      </c>
      <c r="AF66" s="149">
        <v>0</v>
      </c>
      <c r="AG66" s="149">
        <v>0</v>
      </c>
      <c r="AH66" s="149">
        <v>0</v>
      </c>
      <c r="AI66" s="149">
        <v>0</v>
      </c>
      <c r="AJ66" s="149">
        <v>0</v>
      </c>
      <c r="AK66" s="149">
        <f t="shared" si="19"/>
        <v>21950</v>
      </c>
      <c r="AL66" s="149">
        <v>0</v>
      </c>
      <c r="AM66" s="149">
        <v>0</v>
      </c>
      <c r="AN66" s="149">
        <v>0</v>
      </c>
      <c r="AO66" s="149">
        <v>0</v>
      </c>
      <c r="AP66" s="149">
        <v>0</v>
      </c>
      <c r="AQ66" s="149">
        <v>0</v>
      </c>
      <c r="AR66" s="149">
        <v>0</v>
      </c>
      <c r="AS66" s="149">
        <v>0</v>
      </c>
      <c r="AT66" s="149">
        <v>0</v>
      </c>
      <c r="AU66" s="149">
        <v>0</v>
      </c>
      <c r="AV66" s="149">
        <v>0</v>
      </c>
      <c r="AW66" s="149">
        <v>0</v>
      </c>
      <c r="AX66" s="149">
        <v>0</v>
      </c>
      <c r="AY66" s="149">
        <v>0</v>
      </c>
      <c r="AZ66" s="149">
        <v>0</v>
      </c>
      <c r="BA66" s="149">
        <v>0</v>
      </c>
      <c r="BB66" s="149">
        <v>0</v>
      </c>
      <c r="BC66" s="149">
        <v>0</v>
      </c>
      <c r="BD66" s="149">
        <v>0</v>
      </c>
      <c r="BE66" s="149">
        <v>0</v>
      </c>
      <c r="BF66" s="149">
        <v>0</v>
      </c>
      <c r="BG66" s="149">
        <v>0</v>
      </c>
      <c r="BH66" s="149">
        <v>0</v>
      </c>
      <c r="BI66" s="149">
        <v>0</v>
      </c>
      <c r="BJ66" s="149">
        <v>0</v>
      </c>
      <c r="BK66" s="149">
        <v>0</v>
      </c>
      <c r="BL66" s="149">
        <v>0</v>
      </c>
      <c r="BM66" s="149">
        <v>0</v>
      </c>
      <c r="BN66" s="149">
        <v>0</v>
      </c>
      <c r="BO66" s="149">
        <v>0</v>
      </c>
      <c r="BP66" s="149">
        <v>0</v>
      </c>
      <c r="BQ66" s="149">
        <v>0</v>
      </c>
      <c r="BR66" s="149">
        <v>0</v>
      </c>
      <c r="BS66" s="149">
        <v>0</v>
      </c>
      <c r="BT66" s="149">
        <v>0</v>
      </c>
      <c r="BU66" s="149">
        <v>0</v>
      </c>
      <c r="BV66" s="149">
        <v>0</v>
      </c>
      <c r="BW66" s="149">
        <v>0</v>
      </c>
      <c r="BX66" s="149">
        <v>0</v>
      </c>
      <c r="BY66" s="149">
        <v>0</v>
      </c>
      <c r="BZ66" s="149">
        <v>0</v>
      </c>
    </row>
    <row r="67" spans="1:78">
      <c r="A67" s="149">
        <f t="shared" si="17"/>
        <v>20105</v>
      </c>
      <c r="B67" s="154">
        <f t="shared" si="18"/>
        <v>300012</v>
      </c>
      <c r="C67" s="128" t="e">
        <f>VLOOKUP(B67,Multilingual!A:B,2,FALSE)</f>
        <v>#N/A</v>
      </c>
      <c r="D67" s="154">
        <v>0</v>
      </c>
      <c r="E67" s="154">
        <v>0</v>
      </c>
      <c r="F67" s="154">
        <f t="shared" si="20"/>
        <v>20104</v>
      </c>
      <c r="G67" s="154">
        <v>3</v>
      </c>
      <c r="H67" s="154">
        <v>1</v>
      </c>
      <c r="I67" s="154">
        <v>1</v>
      </c>
      <c r="J67" s="154">
        <v>0</v>
      </c>
      <c r="K67" s="154">
        <v>0</v>
      </c>
      <c r="L67" s="154">
        <v>0</v>
      </c>
      <c r="M67" s="154">
        <v>0</v>
      </c>
      <c r="N67" s="136">
        <v>12000</v>
      </c>
      <c r="O67" s="136">
        <v>25</v>
      </c>
      <c r="P67" s="144" t="s">
        <v>633</v>
      </c>
      <c r="Q67" s="136"/>
      <c r="R67" s="136"/>
      <c r="S67" s="154">
        <v>510405</v>
      </c>
      <c r="T67" s="149">
        <v>0</v>
      </c>
      <c r="U67" s="149">
        <v>0</v>
      </c>
      <c r="V67" s="149">
        <v>0</v>
      </c>
      <c r="W67" s="149">
        <v>0</v>
      </c>
      <c r="X67" s="149">
        <v>2</v>
      </c>
      <c r="Y67" s="149">
        <v>0</v>
      </c>
      <c r="Z67" s="149">
        <v>0</v>
      </c>
      <c r="AA67" s="149">
        <v>0</v>
      </c>
      <c r="AB67" s="149">
        <v>0</v>
      </c>
      <c r="AC67" s="149">
        <v>0</v>
      </c>
      <c r="AD67" s="149">
        <v>0</v>
      </c>
      <c r="AE67" s="149">
        <v>0</v>
      </c>
      <c r="AF67" s="149">
        <v>0</v>
      </c>
      <c r="AG67" s="149">
        <v>0</v>
      </c>
      <c r="AH67" s="149">
        <v>0</v>
      </c>
      <c r="AI67" s="149">
        <v>0</v>
      </c>
      <c r="AJ67" s="149">
        <v>0</v>
      </c>
      <c r="AK67" s="149">
        <f t="shared" si="19"/>
        <v>22100</v>
      </c>
      <c r="AL67" s="149">
        <v>0</v>
      </c>
      <c r="AM67" s="149">
        <v>0</v>
      </c>
      <c r="AN67" s="149">
        <v>0</v>
      </c>
      <c r="AO67" s="149">
        <v>0</v>
      </c>
      <c r="AP67" s="149">
        <v>0</v>
      </c>
      <c r="AQ67" s="149">
        <v>0</v>
      </c>
      <c r="AR67" s="149">
        <v>0</v>
      </c>
      <c r="AS67" s="149">
        <v>0</v>
      </c>
      <c r="AT67" s="149">
        <v>0</v>
      </c>
      <c r="AU67" s="149">
        <v>0</v>
      </c>
      <c r="AV67" s="149">
        <v>0</v>
      </c>
      <c r="AW67" s="149">
        <v>0</v>
      </c>
      <c r="AX67" s="149">
        <v>0</v>
      </c>
      <c r="AY67" s="149">
        <v>0</v>
      </c>
      <c r="AZ67" s="149">
        <v>0</v>
      </c>
      <c r="BA67" s="149">
        <v>0</v>
      </c>
      <c r="BB67" s="149">
        <v>0</v>
      </c>
      <c r="BC67" s="149">
        <v>0</v>
      </c>
      <c r="BD67" s="149">
        <v>0</v>
      </c>
      <c r="BE67" s="149">
        <v>0</v>
      </c>
      <c r="BF67" s="149">
        <v>0</v>
      </c>
      <c r="BG67" s="149">
        <v>0</v>
      </c>
      <c r="BH67" s="149">
        <v>0</v>
      </c>
      <c r="BI67" s="149">
        <v>0</v>
      </c>
      <c r="BJ67" s="149">
        <v>0</v>
      </c>
      <c r="BK67" s="149">
        <v>0</v>
      </c>
      <c r="BL67" s="149">
        <v>0</v>
      </c>
      <c r="BM67" s="149">
        <v>0</v>
      </c>
      <c r="BN67" s="149">
        <v>0</v>
      </c>
      <c r="BO67" s="149">
        <v>0</v>
      </c>
      <c r="BP67" s="149">
        <v>0</v>
      </c>
      <c r="BQ67" s="149">
        <v>0</v>
      </c>
      <c r="BR67" s="149">
        <v>0</v>
      </c>
      <c r="BS67" s="149">
        <v>0</v>
      </c>
      <c r="BT67" s="149">
        <v>0</v>
      </c>
      <c r="BU67" s="149">
        <v>0</v>
      </c>
      <c r="BV67" s="149">
        <v>0</v>
      </c>
      <c r="BW67" s="149">
        <v>0</v>
      </c>
      <c r="BX67" s="149">
        <v>0</v>
      </c>
      <c r="BY67" s="149">
        <v>0</v>
      </c>
      <c r="BZ67" s="149">
        <v>0</v>
      </c>
    </row>
    <row r="68" spans="1:78">
      <c r="A68" s="149">
        <f t="shared" si="17"/>
        <v>20106</v>
      </c>
      <c r="B68" s="154">
        <f t="shared" si="18"/>
        <v>300012</v>
      </c>
      <c r="C68" s="128" t="e">
        <f>VLOOKUP(B68,Multilingual!A:B,2,FALSE)</f>
        <v>#N/A</v>
      </c>
      <c r="D68" s="154">
        <v>0</v>
      </c>
      <c r="E68" s="154">
        <v>0</v>
      </c>
      <c r="F68" s="154">
        <f t="shared" si="20"/>
        <v>20105</v>
      </c>
      <c r="G68" s="154">
        <v>3</v>
      </c>
      <c r="H68" s="154">
        <v>1</v>
      </c>
      <c r="I68" s="154">
        <v>1</v>
      </c>
      <c r="J68" s="154">
        <v>0</v>
      </c>
      <c r="K68" s="154">
        <v>0</v>
      </c>
      <c r="L68" s="154">
        <v>0</v>
      </c>
      <c r="M68" s="154">
        <v>0</v>
      </c>
      <c r="N68" s="136">
        <v>12000</v>
      </c>
      <c r="O68" s="136">
        <v>25</v>
      </c>
      <c r="P68" s="144" t="s">
        <v>633</v>
      </c>
      <c r="Q68" s="136"/>
      <c r="R68" s="136"/>
      <c r="S68" s="154">
        <v>510406</v>
      </c>
      <c r="T68" s="149">
        <v>0</v>
      </c>
      <c r="U68" s="149">
        <v>0</v>
      </c>
      <c r="V68" s="149">
        <v>0</v>
      </c>
      <c r="W68" s="149">
        <v>0</v>
      </c>
      <c r="X68" s="149">
        <v>2</v>
      </c>
      <c r="Y68" s="149">
        <v>0</v>
      </c>
      <c r="Z68" s="149">
        <v>0</v>
      </c>
      <c r="AA68" s="149">
        <v>0</v>
      </c>
      <c r="AB68" s="149">
        <v>0</v>
      </c>
      <c r="AC68" s="149">
        <v>0</v>
      </c>
      <c r="AD68" s="149">
        <v>0</v>
      </c>
      <c r="AE68" s="149">
        <v>0</v>
      </c>
      <c r="AF68" s="149">
        <v>0</v>
      </c>
      <c r="AG68" s="149">
        <v>0</v>
      </c>
      <c r="AH68" s="149">
        <v>0</v>
      </c>
      <c r="AI68" s="149">
        <v>0</v>
      </c>
      <c r="AJ68" s="149">
        <v>0</v>
      </c>
      <c r="AK68" s="149">
        <f t="shared" si="19"/>
        <v>22250</v>
      </c>
      <c r="AL68" s="149">
        <v>0</v>
      </c>
      <c r="AM68" s="149">
        <v>0</v>
      </c>
      <c r="AN68" s="149">
        <v>0</v>
      </c>
      <c r="AO68" s="149">
        <v>0</v>
      </c>
      <c r="AP68" s="149">
        <v>0</v>
      </c>
      <c r="AQ68" s="149">
        <v>0</v>
      </c>
      <c r="AR68" s="149">
        <v>0</v>
      </c>
      <c r="AS68" s="149">
        <v>0</v>
      </c>
      <c r="AT68" s="149">
        <v>0</v>
      </c>
      <c r="AU68" s="149">
        <v>0</v>
      </c>
      <c r="AV68" s="149">
        <v>0</v>
      </c>
      <c r="AW68" s="149">
        <v>0</v>
      </c>
      <c r="AX68" s="149">
        <v>0</v>
      </c>
      <c r="AY68" s="149">
        <v>0</v>
      </c>
      <c r="AZ68" s="149">
        <v>0</v>
      </c>
      <c r="BA68" s="149">
        <v>0</v>
      </c>
      <c r="BB68" s="149">
        <v>0</v>
      </c>
      <c r="BC68" s="149">
        <v>0</v>
      </c>
      <c r="BD68" s="149">
        <v>0</v>
      </c>
      <c r="BE68" s="149">
        <v>0</v>
      </c>
      <c r="BF68" s="149">
        <v>0</v>
      </c>
      <c r="BG68" s="149">
        <v>0</v>
      </c>
      <c r="BH68" s="149">
        <v>0</v>
      </c>
      <c r="BI68" s="149">
        <v>0</v>
      </c>
      <c r="BJ68" s="149">
        <v>0</v>
      </c>
      <c r="BK68" s="149">
        <v>0</v>
      </c>
      <c r="BL68" s="149">
        <v>0</v>
      </c>
      <c r="BM68" s="149">
        <v>0</v>
      </c>
      <c r="BN68" s="149">
        <v>0</v>
      </c>
      <c r="BO68" s="149">
        <v>0</v>
      </c>
      <c r="BP68" s="149">
        <v>0</v>
      </c>
      <c r="BQ68" s="149">
        <v>0</v>
      </c>
      <c r="BR68" s="149">
        <v>0</v>
      </c>
      <c r="BS68" s="149">
        <v>0</v>
      </c>
      <c r="BT68" s="149">
        <v>0</v>
      </c>
      <c r="BU68" s="149">
        <v>0</v>
      </c>
      <c r="BV68" s="149">
        <v>0</v>
      </c>
      <c r="BW68" s="149">
        <v>0</v>
      </c>
      <c r="BX68" s="149">
        <v>0</v>
      </c>
      <c r="BY68" s="149">
        <v>0</v>
      </c>
      <c r="BZ68" s="149">
        <v>0</v>
      </c>
    </row>
    <row r="69" spans="1:78">
      <c r="A69" s="149">
        <f t="shared" si="17"/>
        <v>20107</v>
      </c>
      <c r="B69" s="154">
        <f t="shared" si="18"/>
        <v>300012</v>
      </c>
      <c r="C69" s="128" t="e">
        <f>VLOOKUP(B69,Multilingual!A:B,2,FALSE)</f>
        <v>#N/A</v>
      </c>
      <c r="D69" s="154">
        <v>0</v>
      </c>
      <c r="E69" s="154">
        <v>0</v>
      </c>
      <c r="F69" s="154">
        <f t="shared" si="20"/>
        <v>20106</v>
      </c>
      <c r="G69" s="154">
        <v>3</v>
      </c>
      <c r="H69" s="154">
        <v>1</v>
      </c>
      <c r="I69" s="154">
        <v>1</v>
      </c>
      <c r="J69" s="154">
        <v>0</v>
      </c>
      <c r="K69" s="154">
        <v>0</v>
      </c>
      <c r="L69" s="154">
        <v>0</v>
      </c>
      <c r="M69" s="154">
        <v>0</v>
      </c>
      <c r="N69" s="136">
        <v>12000</v>
      </c>
      <c r="O69" s="136">
        <v>25</v>
      </c>
      <c r="P69" s="144" t="s">
        <v>633</v>
      </c>
      <c r="Q69" s="136"/>
      <c r="R69" s="136"/>
      <c r="S69" s="154">
        <v>510407</v>
      </c>
      <c r="T69" s="149">
        <v>0</v>
      </c>
      <c r="U69" s="149">
        <v>0</v>
      </c>
      <c r="V69" s="149">
        <v>0</v>
      </c>
      <c r="W69" s="149">
        <v>0</v>
      </c>
      <c r="X69" s="149">
        <v>2</v>
      </c>
      <c r="Y69" s="149">
        <v>0</v>
      </c>
      <c r="Z69" s="149">
        <v>0</v>
      </c>
      <c r="AA69" s="149">
        <v>0</v>
      </c>
      <c r="AB69" s="149">
        <v>0</v>
      </c>
      <c r="AC69" s="149">
        <v>0</v>
      </c>
      <c r="AD69" s="149">
        <v>0</v>
      </c>
      <c r="AE69" s="149">
        <v>0</v>
      </c>
      <c r="AF69" s="149">
        <v>0</v>
      </c>
      <c r="AG69" s="149">
        <v>0</v>
      </c>
      <c r="AH69" s="149">
        <v>0</v>
      </c>
      <c r="AI69" s="149">
        <v>0</v>
      </c>
      <c r="AJ69" s="149">
        <v>0</v>
      </c>
      <c r="AK69" s="149">
        <f t="shared" si="19"/>
        <v>22400</v>
      </c>
      <c r="AL69" s="149">
        <v>0</v>
      </c>
      <c r="AM69" s="149">
        <v>0</v>
      </c>
      <c r="AN69" s="149">
        <v>0</v>
      </c>
      <c r="AO69" s="149">
        <v>0</v>
      </c>
      <c r="AP69" s="149">
        <v>0</v>
      </c>
      <c r="AQ69" s="149">
        <v>0</v>
      </c>
      <c r="AR69" s="149">
        <v>0</v>
      </c>
      <c r="AS69" s="149">
        <v>0</v>
      </c>
      <c r="AT69" s="149">
        <v>0</v>
      </c>
      <c r="AU69" s="149">
        <v>0</v>
      </c>
      <c r="AV69" s="149">
        <v>0</v>
      </c>
      <c r="AW69" s="149">
        <v>0</v>
      </c>
      <c r="AX69" s="149">
        <v>0</v>
      </c>
      <c r="AY69" s="149">
        <v>0</v>
      </c>
      <c r="AZ69" s="149">
        <v>0</v>
      </c>
      <c r="BA69" s="149">
        <v>0</v>
      </c>
      <c r="BB69" s="149">
        <v>0</v>
      </c>
      <c r="BC69" s="149">
        <v>0</v>
      </c>
      <c r="BD69" s="149">
        <v>0</v>
      </c>
      <c r="BE69" s="149">
        <v>0</v>
      </c>
      <c r="BF69" s="149">
        <v>0</v>
      </c>
      <c r="BG69" s="149">
        <v>0</v>
      </c>
      <c r="BH69" s="149">
        <v>0</v>
      </c>
      <c r="BI69" s="149">
        <v>0</v>
      </c>
      <c r="BJ69" s="149">
        <v>0</v>
      </c>
      <c r="BK69" s="149">
        <v>0</v>
      </c>
      <c r="BL69" s="149">
        <v>0</v>
      </c>
      <c r="BM69" s="149">
        <v>0</v>
      </c>
      <c r="BN69" s="149">
        <v>0</v>
      </c>
      <c r="BO69" s="149">
        <v>0</v>
      </c>
      <c r="BP69" s="149">
        <v>0</v>
      </c>
      <c r="BQ69" s="149">
        <v>0</v>
      </c>
      <c r="BR69" s="149">
        <v>0</v>
      </c>
      <c r="BS69" s="149">
        <v>0</v>
      </c>
      <c r="BT69" s="149">
        <v>0</v>
      </c>
      <c r="BU69" s="149">
        <v>0</v>
      </c>
      <c r="BV69" s="149">
        <v>0</v>
      </c>
      <c r="BW69" s="149">
        <v>0</v>
      </c>
      <c r="BX69" s="149">
        <v>0</v>
      </c>
      <c r="BY69" s="149">
        <v>0</v>
      </c>
      <c r="BZ69" s="149">
        <v>0</v>
      </c>
    </row>
    <row r="70" spans="1:78">
      <c r="A70" s="149">
        <f t="shared" si="17"/>
        <v>20108</v>
      </c>
      <c r="B70" s="154">
        <f t="shared" si="18"/>
        <v>300012</v>
      </c>
      <c r="C70" s="128" t="e">
        <f>VLOOKUP(B70,Multilingual!A:B,2,FALSE)</f>
        <v>#N/A</v>
      </c>
      <c r="D70" s="154">
        <v>0</v>
      </c>
      <c r="E70" s="154">
        <v>0</v>
      </c>
      <c r="F70" s="154">
        <f t="shared" si="20"/>
        <v>20107</v>
      </c>
      <c r="G70" s="154">
        <v>3</v>
      </c>
      <c r="H70" s="154">
        <v>1</v>
      </c>
      <c r="I70" s="154">
        <v>1</v>
      </c>
      <c r="J70" s="154">
        <v>0</v>
      </c>
      <c r="K70" s="154">
        <v>0</v>
      </c>
      <c r="L70" s="154">
        <v>0</v>
      </c>
      <c r="M70" s="154">
        <v>0</v>
      </c>
      <c r="N70" s="136">
        <v>12000</v>
      </c>
      <c r="O70" s="136">
        <v>25</v>
      </c>
      <c r="P70" s="144" t="s">
        <v>633</v>
      </c>
      <c r="Q70" s="136"/>
      <c r="R70" s="136"/>
      <c r="S70" s="154">
        <v>510408</v>
      </c>
      <c r="T70" s="149">
        <v>0</v>
      </c>
      <c r="U70" s="149">
        <v>0</v>
      </c>
      <c r="V70" s="149">
        <v>0</v>
      </c>
      <c r="W70" s="149">
        <v>0</v>
      </c>
      <c r="X70" s="149">
        <v>2</v>
      </c>
      <c r="Y70" s="149">
        <v>0</v>
      </c>
      <c r="Z70" s="149">
        <v>0</v>
      </c>
      <c r="AA70" s="149">
        <v>0</v>
      </c>
      <c r="AB70" s="149">
        <v>0</v>
      </c>
      <c r="AC70" s="149">
        <v>0</v>
      </c>
      <c r="AD70" s="149">
        <v>0</v>
      </c>
      <c r="AE70" s="149">
        <v>0</v>
      </c>
      <c r="AF70" s="149">
        <v>0</v>
      </c>
      <c r="AG70" s="149">
        <v>0</v>
      </c>
      <c r="AH70" s="149">
        <v>0</v>
      </c>
      <c r="AI70" s="149">
        <v>0</v>
      </c>
      <c r="AJ70" s="149">
        <v>0</v>
      </c>
      <c r="AK70" s="149">
        <f t="shared" si="19"/>
        <v>22550</v>
      </c>
      <c r="AL70" s="149">
        <v>0</v>
      </c>
      <c r="AM70" s="149">
        <v>0</v>
      </c>
      <c r="AN70" s="149">
        <v>0</v>
      </c>
      <c r="AO70" s="149">
        <v>0</v>
      </c>
      <c r="AP70" s="149">
        <v>0</v>
      </c>
      <c r="AQ70" s="149">
        <v>0</v>
      </c>
      <c r="AR70" s="149">
        <v>0</v>
      </c>
      <c r="AS70" s="149">
        <v>0</v>
      </c>
      <c r="AT70" s="149">
        <v>0</v>
      </c>
      <c r="AU70" s="149">
        <v>0</v>
      </c>
      <c r="AV70" s="149">
        <v>0</v>
      </c>
      <c r="AW70" s="149">
        <v>0</v>
      </c>
      <c r="AX70" s="149">
        <v>0</v>
      </c>
      <c r="AY70" s="149">
        <v>0</v>
      </c>
      <c r="AZ70" s="149">
        <v>0</v>
      </c>
      <c r="BA70" s="149">
        <v>0</v>
      </c>
      <c r="BB70" s="149">
        <v>0</v>
      </c>
      <c r="BC70" s="149">
        <v>0</v>
      </c>
      <c r="BD70" s="149">
        <v>0</v>
      </c>
      <c r="BE70" s="149">
        <v>0</v>
      </c>
      <c r="BF70" s="149">
        <v>0</v>
      </c>
      <c r="BG70" s="149">
        <v>0</v>
      </c>
      <c r="BH70" s="149">
        <v>0</v>
      </c>
      <c r="BI70" s="149">
        <v>0</v>
      </c>
      <c r="BJ70" s="149">
        <v>0</v>
      </c>
      <c r="BK70" s="149">
        <v>0</v>
      </c>
      <c r="BL70" s="149">
        <v>0</v>
      </c>
      <c r="BM70" s="149">
        <v>0</v>
      </c>
      <c r="BN70" s="149">
        <v>0</v>
      </c>
      <c r="BO70" s="149">
        <v>0</v>
      </c>
      <c r="BP70" s="149">
        <v>0</v>
      </c>
      <c r="BQ70" s="149">
        <v>0</v>
      </c>
      <c r="BR70" s="149">
        <v>0</v>
      </c>
      <c r="BS70" s="149">
        <v>0</v>
      </c>
      <c r="BT70" s="149">
        <v>0</v>
      </c>
      <c r="BU70" s="149">
        <v>0</v>
      </c>
      <c r="BV70" s="149">
        <v>0</v>
      </c>
      <c r="BW70" s="149">
        <v>0</v>
      </c>
      <c r="BX70" s="149">
        <v>0</v>
      </c>
      <c r="BY70" s="149">
        <v>0</v>
      </c>
      <c r="BZ70" s="149">
        <v>0</v>
      </c>
    </row>
    <row r="71" spans="1:78">
      <c r="A71" s="149">
        <f t="shared" si="17"/>
        <v>20109</v>
      </c>
      <c r="B71" s="154">
        <f t="shared" si="18"/>
        <v>300012</v>
      </c>
      <c r="C71" s="128" t="e">
        <f>VLOOKUP(B71,Multilingual!A:B,2,FALSE)</f>
        <v>#N/A</v>
      </c>
      <c r="D71" s="154">
        <v>0</v>
      </c>
      <c r="E71" s="154">
        <v>0</v>
      </c>
      <c r="F71" s="154">
        <f t="shared" si="20"/>
        <v>20108</v>
      </c>
      <c r="G71" s="154">
        <v>3</v>
      </c>
      <c r="H71" s="154">
        <v>1</v>
      </c>
      <c r="I71" s="154">
        <v>1</v>
      </c>
      <c r="J71" s="154">
        <v>0</v>
      </c>
      <c r="K71" s="154">
        <v>0</v>
      </c>
      <c r="L71" s="154">
        <v>0</v>
      </c>
      <c r="M71" s="154">
        <v>0</v>
      </c>
      <c r="N71" s="136">
        <v>12000</v>
      </c>
      <c r="O71" s="136">
        <v>25</v>
      </c>
      <c r="P71" s="144" t="s">
        <v>633</v>
      </c>
      <c r="Q71" s="136"/>
      <c r="R71" s="136"/>
      <c r="S71" s="154">
        <v>510409</v>
      </c>
      <c r="T71" s="149">
        <v>0</v>
      </c>
      <c r="U71" s="149">
        <v>0</v>
      </c>
      <c r="V71" s="149">
        <v>0</v>
      </c>
      <c r="W71" s="149">
        <v>0</v>
      </c>
      <c r="X71" s="149">
        <v>2</v>
      </c>
      <c r="Y71" s="149">
        <v>0</v>
      </c>
      <c r="Z71" s="149">
        <v>0</v>
      </c>
      <c r="AA71" s="149">
        <v>0</v>
      </c>
      <c r="AB71" s="149">
        <v>0</v>
      </c>
      <c r="AC71" s="149">
        <v>0</v>
      </c>
      <c r="AD71" s="149">
        <v>0</v>
      </c>
      <c r="AE71" s="149">
        <v>0</v>
      </c>
      <c r="AF71" s="149">
        <v>0</v>
      </c>
      <c r="AG71" s="149">
        <v>0</v>
      </c>
      <c r="AH71" s="149">
        <v>0</v>
      </c>
      <c r="AI71" s="149">
        <v>0</v>
      </c>
      <c r="AJ71" s="149">
        <v>0</v>
      </c>
      <c r="AK71" s="149">
        <f t="shared" si="19"/>
        <v>22700</v>
      </c>
      <c r="AL71" s="149">
        <v>0</v>
      </c>
      <c r="AM71" s="149">
        <v>0</v>
      </c>
      <c r="AN71" s="149">
        <v>0</v>
      </c>
      <c r="AO71" s="149">
        <v>0</v>
      </c>
      <c r="AP71" s="149">
        <v>0</v>
      </c>
      <c r="AQ71" s="149">
        <v>0</v>
      </c>
      <c r="AR71" s="149">
        <v>0</v>
      </c>
      <c r="AS71" s="149">
        <v>0</v>
      </c>
      <c r="AT71" s="149">
        <v>0</v>
      </c>
      <c r="AU71" s="149">
        <v>0</v>
      </c>
      <c r="AV71" s="149">
        <v>0</v>
      </c>
      <c r="AW71" s="149">
        <v>0</v>
      </c>
      <c r="AX71" s="149">
        <v>0</v>
      </c>
      <c r="AY71" s="149">
        <v>0</v>
      </c>
      <c r="AZ71" s="149">
        <v>0</v>
      </c>
      <c r="BA71" s="149">
        <v>0</v>
      </c>
      <c r="BB71" s="149">
        <v>0</v>
      </c>
      <c r="BC71" s="149">
        <v>0</v>
      </c>
      <c r="BD71" s="149">
        <v>0</v>
      </c>
      <c r="BE71" s="149">
        <v>0</v>
      </c>
      <c r="BF71" s="149">
        <v>0</v>
      </c>
      <c r="BG71" s="149">
        <v>0</v>
      </c>
      <c r="BH71" s="149">
        <v>0</v>
      </c>
      <c r="BI71" s="149">
        <v>0</v>
      </c>
      <c r="BJ71" s="149">
        <v>0</v>
      </c>
      <c r="BK71" s="149">
        <v>0</v>
      </c>
      <c r="BL71" s="149">
        <v>0</v>
      </c>
      <c r="BM71" s="149">
        <v>0</v>
      </c>
      <c r="BN71" s="149">
        <v>0</v>
      </c>
      <c r="BO71" s="149">
        <v>0</v>
      </c>
      <c r="BP71" s="149">
        <v>0</v>
      </c>
      <c r="BQ71" s="149">
        <v>0</v>
      </c>
      <c r="BR71" s="149">
        <v>0</v>
      </c>
      <c r="BS71" s="149">
        <v>0</v>
      </c>
      <c r="BT71" s="149">
        <v>0</v>
      </c>
      <c r="BU71" s="149">
        <v>0</v>
      </c>
      <c r="BV71" s="149">
        <v>0</v>
      </c>
      <c r="BW71" s="149">
        <v>0</v>
      </c>
      <c r="BX71" s="149">
        <v>0</v>
      </c>
      <c r="BY71" s="149">
        <v>0</v>
      </c>
      <c r="BZ71" s="149">
        <v>0</v>
      </c>
    </row>
    <row r="72" spans="1:78">
      <c r="A72" s="149">
        <f t="shared" si="17"/>
        <v>20110</v>
      </c>
      <c r="B72" s="154">
        <f t="shared" si="18"/>
        <v>300012</v>
      </c>
      <c r="C72" s="128" t="e">
        <f>VLOOKUP(B72,Multilingual!A:B,2,FALSE)</f>
        <v>#N/A</v>
      </c>
      <c r="D72" s="154">
        <v>0</v>
      </c>
      <c r="E72" s="154">
        <v>0</v>
      </c>
      <c r="F72" s="154">
        <f t="shared" si="20"/>
        <v>20109</v>
      </c>
      <c r="G72" s="154">
        <v>3</v>
      </c>
      <c r="H72" s="154">
        <v>1</v>
      </c>
      <c r="I72" s="154">
        <v>1</v>
      </c>
      <c r="J72" s="154">
        <v>0</v>
      </c>
      <c r="K72" s="154">
        <v>0</v>
      </c>
      <c r="L72" s="154">
        <v>0</v>
      </c>
      <c r="M72" s="154">
        <v>0</v>
      </c>
      <c r="N72" s="136">
        <v>12000</v>
      </c>
      <c r="O72" s="136">
        <v>25</v>
      </c>
      <c r="P72" s="144" t="s">
        <v>633</v>
      </c>
      <c r="Q72" s="136"/>
      <c r="R72" s="136"/>
      <c r="S72" s="154">
        <v>510410</v>
      </c>
      <c r="T72" s="149">
        <v>0</v>
      </c>
      <c r="U72" s="149">
        <v>0</v>
      </c>
      <c r="V72" s="149">
        <v>0</v>
      </c>
      <c r="W72" s="149">
        <v>0</v>
      </c>
      <c r="X72" s="149">
        <v>2</v>
      </c>
      <c r="Y72" s="149">
        <v>0</v>
      </c>
      <c r="Z72" s="149">
        <v>0</v>
      </c>
      <c r="AA72" s="149">
        <v>0</v>
      </c>
      <c r="AB72" s="149">
        <v>0</v>
      </c>
      <c r="AC72" s="149">
        <v>0</v>
      </c>
      <c r="AD72" s="149">
        <v>0</v>
      </c>
      <c r="AE72" s="149">
        <v>0</v>
      </c>
      <c r="AF72" s="149">
        <v>0</v>
      </c>
      <c r="AG72" s="149">
        <v>0</v>
      </c>
      <c r="AH72" s="149">
        <v>0</v>
      </c>
      <c r="AI72" s="149">
        <v>0</v>
      </c>
      <c r="AJ72" s="149">
        <v>0</v>
      </c>
      <c r="AK72" s="149">
        <f t="shared" si="19"/>
        <v>22850</v>
      </c>
      <c r="AL72" s="149">
        <v>0</v>
      </c>
      <c r="AM72" s="149">
        <v>0</v>
      </c>
      <c r="AN72" s="149">
        <v>0</v>
      </c>
      <c r="AO72" s="149">
        <v>0</v>
      </c>
      <c r="AP72" s="149">
        <v>0</v>
      </c>
      <c r="AQ72" s="149">
        <v>0</v>
      </c>
      <c r="AR72" s="149">
        <v>0</v>
      </c>
      <c r="AS72" s="149">
        <v>0</v>
      </c>
      <c r="AT72" s="149">
        <v>0</v>
      </c>
      <c r="AU72" s="149">
        <v>0</v>
      </c>
      <c r="AV72" s="149">
        <v>0</v>
      </c>
      <c r="AW72" s="149">
        <v>0</v>
      </c>
      <c r="AX72" s="149">
        <v>0</v>
      </c>
      <c r="AY72" s="149">
        <v>0</v>
      </c>
      <c r="AZ72" s="149">
        <v>0</v>
      </c>
      <c r="BA72" s="149">
        <v>0</v>
      </c>
      <c r="BB72" s="149">
        <v>0</v>
      </c>
      <c r="BC72" s="149">
        <v>0</v>
      </c>
      <c r="BD72" s="149">
        <v>0</v>
      </c>
      <c r="BE72" s="149">
        <v>0</v>
      </c>
      <c r="BF72" s="149">
        <v>0</v>
      </c>
      <c r="BG72" s="149">
        <v>0</v>
      </c>
      <c r="BH72" s="149">
        <v>0</v>
      </c>
      <c r="BI72" s="149">
        <v>0</v>
      </c>
      <c r="BJ72" s="149">
        <v>0</v>
      </c>
      <c r="BK72" s="149">
        <v>0</v>
      </c>
      <c r="BL72" s="149">
        <v>0</v>
      </c>
      <c r="BM72" s="149">
        <v>0</v>
      </c>
      <c r="BN72" s="149">
        <v>0</v>
      </c>
      <c r="BO72" s="149">
        <v>0</v>
      </c>
      <c r="BP72" s="149">
        <v>0</v>
      </c>
      <c r="BQ72" s="149">
        <v>0</v>
      </c>
      <c r="BR72" s="149">
        <v>0</v>
      </c>
      <c r="BS72" s="149">
        <v>0</v>
      </c>
      <c r="BT72" s="149">
        <v>0</v>
      </c>
      <c r="BU72" s="149">
        <v>0</v>
      </c>
      <c r="BV72" s="149">
        <v>0</v>
      </c>
      <c r="BW72" s="149">
        <v>0</v>
      </c>
      <c r="BX72" s="149">
        <v>0</v>
      </c>
      <c r="BY72" s="149">
        <v>0</v>
      </c>
      <c r="BZ72" s="149">
        <v>0</v>
      </c>
    </row>
    <row r="73" spans="1:78">
      <c r="A73" s="149">
        <f>A63+100</f>
        <v>20201</v>
      </c>
      <c r="B73" s="154">
        <f>B72+1</f>
        <v>300013</v>
      </c>
      <c r="C73" s="128" t="e">
        <f>VLOOKUP(B73,Multilingual!A:B,2,FALSE)</f>
        <v>#N/A</v>
      </c>
      <c r="D73" s="154">
        <v>0</v>
      </c>
      <c r="E73" s="154">
        <v>0</v>
      </c>
      <c r="F73" s="154">
        <v>0</v>
      </c>
      <c r="G73" s="154">
        <v>3</v>
      </c>
      <c r="H73" s="154">
        <v>1</v>
      </c>
      <c r="I73" s="154">
        <v>1</v>
      </c>
      <c r="J73" s="154">
        <v>0</v>
      </c>
      <c r="K73" s="154">
        <v>0</v>
      </c>
      <c r="L73" s="154">
        <v>0</v>
      </c>
      <c r="M73" s="154">
        <v>0</v>
      </c>
      <c r="N73" s="136">
        <v>15000</v>
      </c>
      <c r="O73" s="136">
        <v>30</v>
      </c>
      <c r="P73" s="144" t="s">
        <v>634</v>
      </c>
      <c r="Q73" s="144" t="s">
        <v>635</v>
      </c>
      <c r="R73" s="136"/>
      <c r="S73" s="154">
        <v>510501</v>
      </c>
      <c r="T73" s="149">
        <v>0</v>
      </c>
      <c r="U73" s="149">
        <v>0</v>
      </c>
      <c r="V73" s="149">
        <v>0</v>
      </c>
      <c r="W73" s="149">
        <v>0</v>
      </c>
      <c r="X73" s="149">
        <v>2</v>
      </c>
      <c r="Y73" s="149">
        <v>0</v>
      </c>
      <c r="Z73" s="149">
        <v>0</v>
      </c>
      <c r="AA73" s="149">
        <v>0</v>
      </c>
      <c r="AB73" s="149">
        <v>0</v>
      </c>
      <c r="AC73" s="149">
        <v>0</v>
      </c>
      <c r="AD73" s="149">
        <v>0</v>
      </c>
      <c r="AE73" s="149">
        <v>0</v>
      </c>
      <c r="AF73" s="149">
        <v>0</v>
      </c>
      <c r="AG73" s="149">
        <v>0</v>
      </c>
      <c r="AH73" s="149">
        <v>0</v>
      </c>
      <c r="AI73" s="149">
        <v>0</v>
      </c>
      <c r="AJ73" s="149">
        <v>0</v>
      </c>
      <c r="AK73" s="149">
        <v>25500</v>
      </c>
      <c r="AL73" s="149">
        <v>0</v>
      </c>
      <c r="AM73" s="149">
        <v>0</v>
      </c>
      <c r="AN73" s="149">
        <v>0</v>
      </c>
      <c r="AO73" s="149">
        <v>0</v>
      </c>
      <c r="AP73" s="149">
        <v>0</v>
      </c>
      <c r="AQ73" s="149">
        <v>0</v>
      </c>
      <c r="AR73" s="149">
        <v>0</v>
      </c>
      <c r="AS73" s="149">
        <v>0</v>
      </c>
      <c r="AT73" s="149">
        <v>0</v>
      </c>
      <c r="AU73" s="149">
        <v>0</v>
      </c>
      <c r="AV73" s="149">
        <v>0</v>
      </c>
      <c r="AW73" s="149">
        <v>0</v>
      </c>
      <c r="AX73" s="149">
        <v>0</v>
      </c>
      <c r="AY73" s="149">
        <v>0</v>
      </c>
      <c r="AZ73" s="149">
        <v>0</v>
      </c>
      <c r="BA73" s="149">
        <v>0</v>
      </c>
      <c r="BB73" s="149">
        <v>0</v>
      </c>
      <c r="BC73" s="149">
        <v>0</v>
      </c>
      <c r="BD73" s="149">
        <v>0</v>
      </c>
      <c r="BE73" s="149">
        <v>0</v>
      </c>
      <c r="BF73" s="149">
        <v>0</v>
      </c>
      <c r="BG73" s="149">
        <v>0</v>
      </c>
      <c r="BH73" s="149">
        <v>0</v>
      </c>
      <c r="BI73" s="149">
        <v>0</v>
      </c>
      <c r="BJ73" s="149">
        <v>0</v>
      </c>
      <c r="BK73" s="149">
        <v>0</v>
      </c>
      <c r="BL73" s="149">
        <v>0</v>
      </c>
      <c r="BM73" s="149">
        <v>0</v>
      </c>
      <c r="BN73" s="149">
        <v>0</v>
      </c>
      <c r="BO73" s="149">
        <v>0</v>
      </c>
      <c r="BP73" s="149">
        <v>0</v>
      </c>
      <c r="BQ73" s="149">
        <v>0</v>
      </c>
      <c r="BR73" s="149">
        <v>0</v>
      </c>
      <c r="BS73" s="149">
        <v>0</v>
      </c>
      <c r="BT73" s="149">
        <v>0</v>
      </c>
      <c r="BU73" s="149">
        <v>0</v>
      </c>
      <c r="BV73" s="149">
        <v>0</v>
      </c>
      <c r="BW73" s="149">
        <v>0</v>
      </c>
      <c r="BX73" s="149">
        <v>0</v>
      </c>
      <c r="BY73" s="149">
        <v>0</v>
      </c>
      <c r="BZ73" s="149">
        <v>0</v>
      </c>
    </row>
    <row r="74" spans="1:78">
      <c r="A74" s="149">
        <f>A73+1</f>
        <v>20202</v>
      </c>
      <c r="B74" s="154">
        <f>B73</f>
        <v>300013</v>
      </c>
      <c r="C74" s="128" t="e">
        <f>VLOOKUP(B74,Multilingual!A:B,2,FALSE)</f>
        <v>#N/A</v>
      </c>
      <c r="D74" s="154">
        <v>0</v>
      </c>
      <c r="E74" s="154">
        <v>0</v>
      </c>
      <c r="F74" s="154">
        <f>F64+100</f>
        <v>20201</v>
      </c>
      <c r="G74" s="154">
        <v>3</v>
      </c>
      <c r="H74" s="154">
        <v>1</v>
      </c>
      <c r="I74" s="154">
        <v>1</v>
      </c>
      <c r="J74" s="154">
        <v>0</v>
      </c>
      <c r="K74" s="154">
        <v>0</v>
      </c>
      <c r="L74" s="154">
        <v>0</v>
      </c>
      <c r="M74" s="154">
        <v>0</v>
      </c>
      <c r="N74" s="136">
        <v>15000</v>
      </c>
      <c r="O74" s="136">
        <v>30</v>
      </c>
      <c r="P74" s="144" t="s">
        <v>634</v>
      </c>
      <c r="Q74" s="144" t="s">
        <v>635</v>
      </c>
      <c r="R74" s="136"/>
      <c r="S74" s="154">
        <v>510502</v>
      </c>
      <c r="T74" s="149">
        <v>0</v>
      </c>
      <c r="U74" s="149">
        <v>0</v>
      </c>
      <c r="V74" s="149">
        <v>0</v>
      </c>
      <c r="W74" s="149">
        <v>0</v>
      </c>
      <c r="X74" s="149">
        <v>2</v>
      </c>
      <c r="Y74" s="149">
        <v>0</v>
      </c>
      <c r="Z74" s="149">
        <v>0</v>
      </c>
      <c r="AA74" s="149">
        <v>0</v>
      </c>
      <c r="AB74" s="149">
        <v>0</v>
      </c>
      <c r="AC74" s="149">
        <v>0</v>
      </c>
      <c r="AD74" s="149">
        <v>0</v>
      </c>
      <c r="AE74" s="149">
        <v>0</v>
      </c>
      <c r="AF74" s="149">
        <v>0</v>
      </c>
      <c r="AG74" s="149">
        <v>0</v>
      </c>
      <c r="AH74" s="149">
        <v>0</v>
      </c>
      <c r="AI74" s="149">
        <v>0</v>
      </c>
      <c r="AJ74" s="149">
        <v>0</v>
      </c>
      <c r="AK74" s="149">
        <f>AK73+2000</f>
        <v>27500</v>
      </c>
      <c r="AL74" s="149">
        <v>0</v>
      </c>
      <c r="AM74" s="149">
        <v>0</v>
      </c>
      <c r="AN74" s="149">
        <v>0</v>
      </c>
      <c r="AO74" s="149">
        <v>0</v>
      </c>
      <c r="AP74" s="149">
        <v>0</v>
      </c>
      <c r="AQ74" s="149">
        <v>0</v>
      </c>
      <c r="AR74" s="149">
        <v>0</v>
      </c>
      <c r="AS74" s="149">
        <v>0</v>
      </c>
      <c r="AT74" s="149">
        <v>0</v>
      </c>
      <c r="AU74" s="149">
        <v>0</v>
      </c>
      <c r="AV74" s="149">
        <v>0</v>
      </c>
      <c r="AW74" s="149">
        <v>0</v>
      </c>
      <c r="AX74" s="149">
        <v>0</v>
      </c>
      <c r="AY74" s="149">
        <v>0</v>
      </c>
      <c r="AZ74" s="149">
        <v>0</v>
      </c>
      <c r="BA74" s="149">
        <v>0</v>
      </c>
      <c r="BB74" s="149">
        <v>0</v>
      </c>
      <c r="BC74" s="149">
        <v>0</v>
      </c>
      <c r="BD74" s="149">
        <v>0</v>
      </c>
      <c r="BE74" s="149">
        <v>0</v>
      </c>
      <c r="BF74" s="149">
        <v>0</v>
      </c>
      <c r="BG74" s="149">
        <v>0</v>
      </c>
      <c r="BH74" s="149">
        <v>0</v>
      </c>
      <c r="BI74" s="149">
        <v>0</v>
      </c>
      <c r="BJ74" s="149">
        <v>0</v>
      </c>
      <c r="BK74" s="149">
        <v>0</v>
      </c>
      <c r="BL74" s="149">
        <v>0</v>
      </c>
      <c r="BM74" s="149">
        <v>0</v>
      </c>
      <c r="BN74" s="149">
        <v>0</v>
      </c>
      <c r="BO74" s="149">
        <v>0</v>
      </c>
      <c r="BP74" s="149">
        <v>0</v>
      </c>
      <c r="BQ74" s="149">
        <v>0</v>
      </c>
      <c r="BR74" s="149">
        <v>0</v>
      </c>
      <c r="BS74" s="149">
        <v>0</v>
      </c>
      <c r="BT74" s="149">
        <v>0</v>
      </c>
      <c r="BU74" s="149">
        <v>0</v>
      </c>
      <c r="BV74" s="149">
        <v>0</v>
      </c>
      <c r="BW74" s="149">
        <v>0</v>
      </c>
      <c r="BX74" s="149">
        <v>0</v>
      </c>
      <c r="BY74" s="149">
        <v>0</v>
      </c>
      <c r="BZ74" s="149">
        <v>0</v>
      </c>
    </row>
    <row r="75" spans="1:78">
      <c r="A75" s="149">
        <f t="shared" ref="A75:A82" si="21">A74+1</f>
        <v>20203</v>
      </c>
      <c r="B75" s="154">
        <f t="shared" ref="B75:B82" si="22">B74</f>
        <v>300013</v>
      </c>
      <c r="C75" s="128" t="e">
        <f>VLOOKUP(B75,Multilingual!A:B,2,FALSE)</f>
        <v>#N/A</v>
      </c>
      <c r="D75" s="154">
        <v>0</v>
      </c>
      <c r="E75" s="154">
        <v>0</v>
      </c>
      <c r="F75" s="154">
        <f>F74+1</f>
        <v>20202</v>
      </c>
      <c r="G75" s="154">
        <v>3</v>
      </c>
      <c r="H75" s="154">
        <v>1</v>
      </c>
      <c r="I75" s="154">
        <v>1</v>
      </c>
      <c r="J75" s="154">
        <v>0</v>
      </c>
      <c r="K75" s="154">
        <v>0</v>
      </c>
      <c r="L75" s="154">
        <v>0</v>
      </c>
      <c r="M75" s="154">
        <v>0</v>
      </c>
      <c r="N75" s="136">
        <v>15000</v>
      </c>
      <c r="O75" s="136">
        <v>30</v>
      </c>
      <c r="P75" s="144" t="s">
        <v>634</v>
      </c>
      <c r="Q75" s="144" t="s">
        <v>635</v>
      </c>
      <c r="R75" s="136"/>
      <c r="S75" s="154">
        <v>510503</v>
      </c>
      <c r="T75" s="149">
        <v>0</v>
      </c>
      <c r="U75" s="149">
        <v>0</v>
      </c>
      <c r="V75" s="149">
        <v>0</v>
      </c>
      <c r="W75" s="149">
        <v>0</v>
      </c>
      <c r="X75" s="149">
        <v>2</v>
      </c>
      <c r="Y75" s="149">
        <v>0</v>
      </c>
      <c r="Z75" s="149">
        <v>0</v>
      </c>
      <c r="AA75" s="149">
        <v>0</v>
      </c>
      <c r="AB75" s="149">
        <v>0</v>
      </c>
      <c r="AC75" s="149">
        <v>0</v>
      </c>
      <c r="AD75" s="149">
        <v>0</v>
      </c>
      <c r="AE75" s="149">
        <v>0</v>
      </c>
      <c r="AF75" s="149">
        <v>0</v>
      </c>
      <c r="AG75" s="149">
        <v>0</v>
      </c>
      <c r="AH75" s="149">
        <v>0</v>
      </c>
      <c r="AI75" s="149">
        <v>0</v>
      </c>
      <c r="AJ75" s="149">
        <v>0</v>
      </c>
      <c r="AK75" s="149">
        <f t="shared" ref="AK75:AK82" si="23">AK74+2000</f>
        <v>29500</v>
      </c>
      <c r="AL75" s="149">
        <v>0</v>
      </c>
      <c r="AM75" s="149">
        <v>0</v>
      </c>
      <c r="AN75" s="149">
        <v>0</v>
      </c>
      <c r="AO75" s="149">
        <v>0</v>
      </c>
      <c r="AP75" s="149">
        <v>0</v>
      </c>
      <c r="AQ75" s="149">
        <v>0</v>
      </c>
      <c r="AR75" s="149">
        <v>0</v>
      </c>
      <c r="AS75" s="149">
        <v>0</v>
      </c>
      <c r="AT75" s="149">
        <v>0</v>
      </c>
      <c r="AU75" s="149">
        <v>0</v>
      </c>
      <c r="AV75" s="149">
        <v>0</v>
      </c>
      <c r="AW75" s="149">
        <v>0</v>
      </c>
      <c r="AX75" s="149">
        <v>0</v>
      </c>
      <c r="AY75" s="149">
        <v>0</v>
      </c>
      <c r="AZ75" s="149">
        <v>0</v>
      </c>
      <c r="BA75" s="149">
        <v>0</v>
      </c>
      <c r="BB75" s="149">
        <v>0</v>
      </c>
      <c r="BC75" s="149">
        <v>0</v>
      </c>
      <c r="BD75" s="149">
        <v>0</v>
      </c>
      <c r="BE75" s="149">
        <v>0</v>
      </c>
      <c r="BF75" s="149">
        <v>0</v>
      </c>
      <c r="BG75" s="149">
        <v>0</v>
      </c>
      <c r="BH75" s="149">
        <v>0</v>
      </c>
      <c r="BI75" s="149">
        <v>0</v>
      </c>
      <c r="BJ75" s="149">
        <v>0</v>
      </c>
      <c r="BK75" s="149">
        <v>0</v>
      </c>
      <c r="BL75" s="149">
        <v>0</v>
      </c>
      <c r="BM75" s="149">
        <v>0</v>
      </c>
      <c r="BN75" s="149">
        <v>0</v>
      </c>
      <c r="BO75" s="149">
        <v>0</v>
      </c>
      <c r="BP75" s="149">
        <v>0</v>
      </c>
      <c r="BQ75" s="149">
        <v>0</v>
      </c>
      <c r="BR75" s="149">
        <v>0</v>
      </c>
      <c r="BS75" s="149">
        <v>0</v>
      </c>
      <c r="BT75" s="149">
        <v>0</v>
      </c>
      <c r="BU75" s="149">
        <v>0</v>
      </c>
      <c r="BV75" s="149">
        <v>0</v>
      </c>
      <c r="BW75" s="149">
        <v>0</v>
      </c>
      <c r="BX75" s="149">
        <v>0</v>
      </c>
      <c r="BY75" s="149">
        <v>0</v>
      </c>
      <c r="BZ75" s="149">
        <v>0</v>
      </c>
    </row>
    <row r="76" spans="1:78">
      <c r="A76" s="149">
        <f t="shared" si="21"/>
        <v>20204</v>
      </c>
      <c r="B76" s="154">
        <f t="shared" si="22"/>
        <v>300013</v>
      </c>
      <c r="C76" s="128" t="e">
        <f>VLOOKUP(B76,Multilingual!A:B,2,FALSE)</f>
        <v>#N/A</v>
      </c>
      <c r="D76" s="154">
        <v>0</v>
      </c>
      <c r="E76" s="154">
        <v>0</v>
      </c>
      <c r="F76" s="154">
        <f t="shared" ref="F76:F82" si="24">F75+1</f>
        <v>20203</v>
      </c>
      <c r="G76" s="154">
        <v>3</v>
      </c>
      <c r="H76" s="154">
        <v>1</v>
      </c>
      <c r="I76" s="154">
        <v>1</v>
      </c>
      <c r="J76" s="154">
        <v>0</v>
      </c>
      <c r="K76" s="154">
        <v>0</v>
      </c>
      <c r="L76" s="154">
        <v>0</v>
      </c>
      <c r="M76" s="154">
        <v>0</v>
      </c>
      <c r="N76" s="136">
        <v>15000</v>
      </c>
      <c r="O76" s="136">
        <v>30</v>
      </c>
      <c r="P76" s="144" t="s">
        <v>634</v>
      </c>
      <c r="Q76" s="144" t="s">
        <v>635</v>
      </c>
      <c r="R76" s="136"/>
      <c r="S76" s="154">
        <v>510504</v>
      </c>
      <c r="T76" s="149">
        <v>0</v>
      </c>
      <c r="U76" s="149">
        <v>0</v>
      </c>
      <c r="V76" s="149">
        <v>0</v>
      </c>
      <c r="W76" s="149">
        <v>0</v>
      </c>
      <c r="X76" s="149">
        <v>2</v>
      </c>
      <c r="Y76" s="149">
        <v>0</v>
      </c>
      <c r="Z76" s="149">
        <v>0</v>
      </c>
      <c r="AA76" s="149">
        <v>0</v>
      </c>
      <c r="AB76" s="149">
        <v>0</v>
      </c>
      <c r="AC76" s="149">
        <v>0</v>
      </c>
      <c r="AD76" s="149">
        <v>0</v>
      </c>
      <c r="AE76" s="149">
        <v>0</v>
      </c>
      <c r="AF76" s="149">
        <v>0</v>
      </c>
      <c r="AG76" s="149">
        <v>0</v>
      </c>
      <c r="AH76" s="149">
        <v>0</v>
      </c>
      <c r="AI76" s="149">
        <v>0</v>
      </c>
      <c r="AJ76" s="149">
        <v>0</v>
      </c>
      <c r="AK76" s="149">
        <f t="shared" si="23"/>
        <v>31500</v>
      </c>
      <c r="AL76" s="149">
        <v>0</v>
      </c>
      <c r="AM76" s="149">
        <v>0</v>
      </c>
      <c r="AN76" s="149">
        <v>0</v>
      </c>
      <c r="AO76" s="149">
        <v>0</v>
      </c>
      <c r="AP76" s="149">
        <v>0</v>
      </c>
      <c r="AQ76" s="149">
        <v>0</v>
      </c>
      <c r="AR76" s="149">
        <v>0</v>
      </c>
      <c r="AS76" s="149">
        <v>0</v>
      </c>
      <c r="AT76" s="149">
        <v>0</v>
      </c>
      <c r="AU76" s="149">
        <v>0</v>
      </c>
      <c r="AV76" s="149">
        <v>0</v>
      </c>
      <c r="AW76" s="149">
        <v>0</v>
      </c>
      <c r="AX76" s="149">
        <v>0</v>
      </c>
      <c r="AY76" s="149">
        <v>0</v>
      </c>
      <c r="AZ76" s="149">
        <v>0</v>
      </c>
      <c r="BA76" s="149">
        <v>0</v>
      </c>
      <c r="BB76" s="149">
        <v>0</v>
      </c>
      <c r="BC76" s="149">
        <v>0</v>
      </c>
      <c r="BD76" s="149">
        <v>0</v>
      </c>
      <c r="BE76" s="149">
        <v>0</v>
      </c>
      <c r="BF76" s="149">
        <v>0</v>
      </c>
      <c r="BG76" s="149">
        <v>0</v>
      </c>
      <c r="BH76" s="149">
        <v>0</v>
      </c>
      <c r="BI76" s="149">
        <v>0</v>
      </c>
      <c r="BJ76" s="149">
        <v>0</v>
      </c>
      <c r="BK76" s="149">
        <v>0</v>
      </c>
      <c r="BL76" s="149">
        <v>0</v>
      </c>
      <c r="BM76" s="149">
        <v>0</v>
      </c>
      <c r="BN76" s="149">
        <v>0</v>
      </c>
      <c r="BO76" s="149">
        <v>0</v>
      </c>
      <c r="BP76" s="149">
        <v>0</v>
      </c>
      <c r="BQ76" s="149">
        <v>0</v>
      </c>
      <c r="BR76" s="149">
        <v>0</v>
      </c>
      <c r="BS76" s="149">
        <v>0</v>
      </c>
      <c r="BT76" s="149">
        <v>0</v>
      </c>
      <c r="BU76" s="149">
        <v>0</v>
      </c>
      <c r="BV76" s="149">
        <v>0</v>
      </c>
      <c r="BW76" s="149">
        <v>0</v>
      </c>
      <c r="BX76" s="149">
        <v>0</v>
      </c>
      <c r="BY76" s="149">
        <v>0</v>
      </c>
      <c r="BZ76" s="149">
        <v>0</v>
      </c>
    </row>
    <row r="77" spans="1:78">
      <c r="A77" s="149">
        <f t="shared" si="21"/>
        <v>20205</v>
      </c>
      <c r="B77" s="154">
        <f t="shared" si="22"/>
        <v>300013</v>
      </c>
      <c r="C77" s="128" t="e">
        <f>VLOOKUP(B77,Multilingual!A:B,2,FALSE)</f>
        <v>#N/A</v>
      </c>
      <c r="D77" s="154">
        <v>0</v>
      </c>
      <c r="E77" s="154">
        <v>0</v>
      </c>
      <c r="F77" s="154">
        <f t="shared" si="24"/>
        <v>20204</v>
      </c>
      <c r="G77" s="154">
        <v>3</v>
      </c>
      <c r="H77" s="154">
        <v>1</v>
      </c>
      <c r="I77" s="154">
        <v>1</v>
      </c>
      <c r="J77" s="154">
        <v>0</v>
      </c>
      <c r="K77" s="154">
        <v>0</v>
      </c>
      <c r="L77" s="154">
        <v>0</v>
      </c>
      <c r="M77" s="154">
        <v>0</v>
      </c>
      <c r="N77" s="136">
        <v>15000</v>
      </c>
      <c r="O77" s="136">
        <v>30</v>
      </c>
      <c r="P77" s="144" t="s">
        <v>634</v>
      </c>
      <c r="Q77" s="144" t="s">
        <v>635</v>
      </c>
      <c r="R77" s="136"/>
      <c r="S77" s="154">
        <v>510505</v>
      </c>
      <c r="T77" s="149">
        <v>0</v>
      </c>
      <c r="U77" s="149">
        <v>0</v>
      </c>
      <c r="V77" s="149">
        <v>0</v>
      </c>
      <c r="W77" s="149">
        <v>0</v>
      </c>
      <c r="X77" s="149">
        <v>2</v>
      </c>
      <c r="Y77" s="149">
        <v>0</v>
      </c>
      <c r="Z77" s="149">
        <v>0</v>
      </c>
      <c r="AA77" s="149">
        <v>0</v>
      </c>
      <c r="AB77" s="149">
        <v>0</v>
      </c>
      <c r="AC77" s="149">
        <v>0</v>
      </c>
      <c r="AD77" s="149">
        <v>0</v>
      </c>
      <c r="AE77" s="149">
        <v>0</v>
      </c>
      <c r="AF77" s="149">
        <v>0</v>
      </c>
      <c r="AG77" s="149">
        <v>0</v>
      </c>
      <c r="AH77" s="149">
        <v>0</v>
      </c>
      <c r="AI77" s="149">
        <v>0</v>
      </c>
      <c r="AJ77" s="149">
        <v>0</v>
      </c>
      <c r="AK77" s="149">
        <f t="shared" si="23"/>
        <v>33500</v>
      </c>
      <c r="AL77" s="149">
        <v>0</v>
      </c>
      <c r="AM77" s="149">
        <v>0</v>
      </c>
      <c r="AN77" s="149">
        <v>0</v>
      </c>
      <c r="AO77" s="149">
        <v>0</v>
      </c>
      <c r="AP77" s="149">
        <v>0</v>
      </c>
      <c r="AQ77" s="149">
        <v>0</v>
      </c>
      <c r="AR77" s="149">
        <v>0</v>
      </c>
      <c r="AS77" s="149">
        <v>0</v>
      </c>
      <c r="AT77" s="149">
        <v>0</v>
      </c>
      <c r="AU77" s="149">
        <v>0</v>
      </c>
      <c r="AV77" s="149">
        <v>0</v>
      </c>
      <c r="AW77" s="149">
        <v>0</v>
      </c>
      <c r="AX77" s="149">
        <v>0</v>
      </c>
      <c r="AY77" s="149">
        <v>0</v>
      </c>
      <c r="AZ77" s="149">
        <v>0</v>
      </c>
      <c r="BA77" s="149">
        <v>0</v>
      </c>
      <c r="BB77" s="149">
        <v>0</v>
      </c>
      <c r="BC77" s="149">
        <v>0</v>
      </c>
      <c r="BD77" s="149">
        <v>0</v>
      </c>
      <c r="BE77" s="149">
        <v>0</v>
      </c>
      <c r="BF77" s="149">
        <v>0</v>
      </c>
      <c r="BG77" s="149">
        <v>0</v>
      </c>
      <c r="BH77" s="149">
        <v>0</v>
      </c>
      <c r="BI77" s="149">
        <v>0</v>
      </c>
      <c r="BJ77" s="149">
        <v>0</v>
      </c>
      <c r="BK77" s="149">
        <v>0</v>
      </c>
      <c r="BL77" s="149">
        <v>0</v>
      </c>
      <c r="BM77" s="149">
        <v>0</v>
      </c>
      <c r="BN77" s="149">
        <v>0</v>
      </c>
      <c r="BO77" s="149">
        <v>0</v>
      </c>
      <c r="BP77" s="149">
        <v>0</v>
      </c>
      <c r="BQ77" s="149">
        <v>0</v>
      </c>
      <c r="BR77" s="149">
        <v>0</v>
      </c>
      <c r="BS77" s="149">
        <v>0</v>
      </c>
      <c r="BT77" s="149">
        <v>0</v>
      </c>
      <c r="BU77" s="149">
        <v>0</v>
      </c>
      <c r="BV77" s="149">
        <v>0</v>
      </c>
      <c r="BW77" s="149">
        <v>0</v>
      </c>
      <c r="BX77" s="149">
        <v>0</v>
      </c>
      <c r="BY77" s="149">
        <v>0</v>
      </c>
      <c r="BZ77" s="149">
        <v>0</v>
      </c>
    </row>
    <row r="78" spans="1:78">
      <c r="A78" s="149">
        <f t="shared" si="21"/>
        <v>20206</v>
      </c>
      <c r="B78" s="154">
        <f t="shared" si="22"/>
        <v>300013</v>
      </c>
      <c r="C78" s="128" t="e">
        <f>VLOOKUP(B78,Multilingual!A:B,2,FALSE)</f>
        <v>#N/A</v>
      </c>
      <c r="D78" s="154">
        <v>0</v>
      </c>
      <c r="E78" s="154">
        <v>0</v>
      </c>
      <c r="F78" s="154">
        <f t="shared" si="24"/>
        <v>20205</v>
      </c>
      <c r="G78" s="154">
        <v>3</v>
      </c>
      <c r="H78" s="154">
        <v>1</v>
      </c>
      <c r="I78" s="154">
        <v>1</v>
      </c>
      <c r="J78" s="154">
        <v>0</v>
      </c>
      <c r="K78" s="154">
        <v>0</v>
      </c>
      <c r="L78" s="154">
        <v>0</v>
      </c>
      <c r="M78" s="154">
        <v>0</v>
      </c>
      <c r="N78" s="136">
        <v>15000</v>
      </c>
      <c r="O78" s="136">
        <v>30</v>
      </c>
      <c r="P78" s="144" t="s">
        <v>634</v>
      </c>
      <c r="Q78" s="144" t="s">
        <v>635</v>
      </c>
      <c r="R78" s="136"/>
      <c r="S78" s="154">
        <v>510506</v>
      </c>
      <c r="T78" s="149">
        <v>0</v>
      </c>
      <c r="U78" s="149">
        <v>0</v>
      </c>
      <c r="V78" s="149">
        <v>0</v>
      </c>
      <c r="W78" s="149">
        <v>0</v>
      </c>
      <c r="X78" s="149">
        <v>2</v>
      </c>
      <c r="Y78" s="149">
        <v>0</v>
      </c>
      <c r="Z78" s="149">
        <v>0</v>
      </c>
      <c r="AA78" s="149">
        <v>0</v>
      </c>
      <c r="AB78" s="149">
        <v>0</v>
      </c>
      <c r="AC78" s="149">
        <v>0</v>
      </c>
      <c r="AD78" s="149">
        <v>0</v>
      </c>
      <c r="AE78" s="149">
        <v>0</v>
      </c>
      <c r="AF78" s="149">
        <v>0</v>
      </c>
      <c r="AG78" s="149">
        <v>0</v>
      </c>
      <c r="AH78" s="149">
        <v>0</v>
      </c>
      <c r="AI78" s="149">
        <v>0</v>
      </c>
      <c r="AJ78" s="149">
        <v>0</v>
      </c>
      <c r="AK78" s="149">
        <f t="shared" si="23"/>
        <v>35500</v>
      </c>
      <c r="AL78" s="149">
        <v>0</v>
      </c>
      <c r="AM78" s="149">
        <v>0</v>
      </c>
      <c r="AN78" s="149">
        <v>0</v>
      </c>
      <c r="AO78" s="149">
        <v>0</v>
      </c>
      <c r="AP78" s="149">
        <v>0</v>
      </c>
      <c r="AQ78" s="149">
        <v>0</v>
      </c>
      <c r="AR78" s="149">
        <v>0</v>
      </c>
      <c r="AS78" s="149">
        <v>0</v>
      </c>
      <c r="AT78" s="149">
        <v>0</v>
      </c>
      <c r="AU78" s="149">
        <v>0</v>
      </c>
      <c r="AV78" s="149">
        <v>0</v>
      </c>
      <c r="AW78" s="149">
        <v>0</v>
      </c>
      <c r="AX78" s="149">
        <v>0</v>
      </c>
      <c r="AY78" s="149">
        <v>0</v>
      </c>
      <c r="AZ78" s="149">
        <v>0</v>
      </c>
      <c r="BA78" s="149">
        <v>0</v>
      </c>
      <c r="BB78" s="149">
        <v>0</v>
      </c>
      <c r="BC78" s="149">
        <v>0</v>
      </c>
      <c r="BD78" s="149">
        <v>0</v>
      </c>
      <c r="BE78" s="149">
        <v>0</v>
      </c>
      <c r="BF78" s="149">
        <v>0</v>
      </c>
      <c r="BG78" s="149">
        <v>0</v>
      </c>
      <c r="BH78" s="149">
        <v>0</v>
      </c>
      <c r="BI78" s="149">
        <v>0</v>
      </c>
      <c r="BJ78" s="149">
        <v>0</v>
      </c>
      <c r="BK78" s="149">
        <v>0</v>
      </c>
      <c r="BL78" s="149">
        <v>0</v>
      </c>
      <c r="BM78" s="149">
        <v>0</v>
      </c>
      <c r="BN78" s="149">
        <v>0</v>
      </c>
      <c r="BO78" s="149">
        <v>0</v>
      </c>
      <c r="BP78" s="149">
        <v>0</v>
      </c>
      <c r="BQ78" s="149">
        <v>0</v>
      </c>
      <c r="BR78" s="149">
        <v>0</v>
      </c>
      <c r="BS78" s="149">
        <v>0</v>
      </c>
      <c r="BT78" s="149">
        <v>0</v>
      </c>
      <c r="BU78" s="149">
        <v>0</v>
      </c>
      <c r="BV78" s="149">
        <v>0</v>
      </c>
      <c r="BW78" s="149">
        <v>0</v>
      </c>
      <c r="BX78" s="149">
        <v>0</v>
      </c>
      <c r="BY78" s="149">
        <v>0</v>
      </c>
      <c r="BZ78" s="149">
        <v>0</v>
      </c>
    </row>
    <row r="79" spans="1:78">
      <c r="A79" s="149">
        <f t="shared" si="21"/>
        <v>20207</v>
      </c>
      <c r="B79" s="154">
        <f t="shared" si="22"/>
        <v>300013</v>
      </c>
      <c r="C79" s="128" t="e">
        <f>VLOOKUP(B79,Multilingual!A:B,2,FALSE)</f>
        <v>#N/A</v>
      </c>
      <c r="D79" s="154">
        <v>0</v>
      </c>
      <c r="E79" s="154">
        <v>0</v>
      </c>
      <c r="F79" s="154">
        <f t="shared" si="24"/>
        <v>20206</v>
      </c>
      <c r="G79" s="154">
        <v>3</v>
      </c>
      <c r="H79" s="154">
        <v>1</v>
      </c>
      <c r="I79" s="154">
        <v>1</v>
      </c>
      <c r="J79" s="154">
        <v>0</v>
      </c>
      <c r="K79" s="154">
        <v>0</v>
      </c>
      <c r="L79" s="154">
        <v>0</v>
      </c>
      <c r="M79" s="154">
        <v>0</v>
      </c>
      <c r="N79" s="136">
        <v>15000</v>
      </c>
      <c r="O79" s="136">
        <v>30</v>
      </c>
      <c r="P79" s="144" t="s">
        <v>634</v>
      </c>
      <c r="Q79" s="144" t="s">
        <v>635</v>
      </c>
      <c r="R79" s="136"/>
      <c r="S79" s="154">
        <v>510507</v>
      </c>
      <c r="T79" s="149">
        <v>0</v>
      </c>
      <c r="U79" s="149">
        <v>0</v>
      </c>
      <c r="V79" s="149">
        <v>0</v>
      </c>
      <c r="W79" s="149">
        <v>0</v>
      </c>
      <c r="X79" s="149">
        <v>2</v>
      </c>
      <c r="Y79" s="149">
        <v>0</v>
      </c>
      <c r="Z79" s="149">
        <v>0</v>
      </c>
      <c r="AA79" s="149">
        <v>0</v>
      </c>
      <c r="AB79" s="149">
        <v>0</v>
      </c>
      <c r="AC79" s="149">
        <v>0</v>
      </c>
      <c r="AD79" s="149">
        <v>0</v>
      </c>
      <c r="AE79" s="149">
        <v>0</v>
      </c>
      <c r="AF79" s="149">
        <v>0</v>
      </c>
      <c r="AG79" s="149">
        <v>0</v>
      </c>
      <c r="AH79" s="149">
        <v>0</v>
      </c>
      <c r="AI79" s="149">
        <v>0</v>
      </c>
      <c r="AJ79" s="149">
        <v>0</v>
      </c>
      <c r="AK79" s="149">
        <f t="shared" si="23"/>
        <v>37500</v>
      </c>
      <c r="AL79" s="149">
        <v>0</v>
      </c>
      <c r="AM79" s="149">
        <v>0</v>
      </c>
      <c r="AN79" s="149">
        <v>0</v>
      </c>
      <c r="AO79" s="149">
        <v>0</v>
      </c>
      <c r="AP79" s="149">
        <v>0</v>
      </c>
      <c r="AQ79" s="149">
        <v>0</v>
      </c>
      <c r="AR79" s="149">
        <v>0</v>
      </c>
      <c r="AS79" s="149">
        <v>0</v>
      </c>
      <c r="AT79" s="149">
        <v>0</v>
      </c>
      <c r="AU79" s="149">
        <v>0</v>
      </c>
      <c r="AV79" s="149">
        <v>0</v>
      </c>
      <c r="AW79" s="149">
        <v>0</v>
      </c>
      <c r="AX79" s="149">
        <v>0</v>
      </c>
      <c r="AY79" s="149">
        <v>0</v>
      </c>
      <c r="AZ79" s="149">
        <v>0</v>
      </c>
      <c r="BA79" s="149">
        <v>0</v>
      </c>
      <c r="BB79" s="149">
        <v>0</v>
      </c>
      <c r="BC79" s="149">
        <v>0</v>
      </c>
      <c r="BD79" s="149">
        <v>0</v>
      </c>
      <c r="BE79" s="149">
        <v>0</v>
      </c>
      <c r="BF79" s="149">
        <v>0</v>
      </c>
      <c r="BG79" s="149">
        <v>0</v>
      </c>
      <c r="BH79" s="149">
        <v>0</v>
      </c>
      <c r="BI79" s="149">
        <v>0</v>
      </c>
      <c r="BJ79" s="149">
        <v>0</v>
      </c>
      <c r="BK79" s="149">
        <v>0</v>
      </c>
      <c r="BL79" s="149">
        <v>0</v>
      </c>
      <c r="BM79" s="149">
        <v>0</v>
      </c>
      <c r="BN79" s="149">
        <v>0</v>
      </c>
      <c r="BO79" s="149">
        <v>0</v>
      </c>
      <c r="BP79" s="149">
        <v>0</v>
      </c>
      <c r="BQ79" s="149">
        <v>0</v>
      </c>
      <c r="BR79" s="149">
        <v>0</v>
      </c>
      <c r="BS79" s="149">
        <v>0</v>
      </c>
      <c r="BT79" s="149">
        <v>0</v>
      </c>
      <c r="BU79" s="149">
        <v>0</v>
      </c>
      <c r="BV79" s="149">
        <v>0</v>
      </c>
      <c r="BW79" s="149">
        <v>0</v>
      </c>
      <c r="BX79" s="149">
        <v>0</v>
      </c>
      <c r="BY79" s="149">
        <v>0</v>
      </c>
      <c r="BZ79" s="149">
        <v>0</v>
      </c>
    </row>
    <row r="80" spans="1:78">
      <c r="A80" s="149">
        <f t="shared" si="21"/>
        <v>20208</v>
      </c>
      <c r="B80" s="154">
        <f t="shared" si="22"/>
        <v>300013</v>
      </c>
      <c r="C80" s="128" t="e">
        <f>VLOOKUP(B80,Multilingual!A:B,2,FALSE)</f>
        <v>#N/A</v>
      </c>
      <c r="D80" s="154">
        <v>0</v>
      </c>
      <c r="E80" s="154">
        <v>0</v>
      </c>
      <c r="F80" s="154">
        <f t="shared" si="24"/>
        <v>20207</v>
      </c>
      <c r="G80" s="154">
        <v>3</v>
      </c>
      <c r="H80" s="154">
        <v>1</v>
      </c>
      <c r="I80" s="154">
        <v>1</v>
      </c>
      <c r="J80" s="154">
        <v>0</v>
      </c>
      <c r="K80" s="154">
        <v>0</v>
      </c>
      <c r="L80" s="154">
        <v>0</v>
      </c>
      <c r="M80" s="154">
        <v>0</v>
      </c>
      <c r="N80" s="136">
        <v>15000</v>
      </c>
      <c r="O80" s="136">
        <v>30</v>
      </c>
      <c r="P80" s="144" t="s">
        <v>634</v>
      </c>
      <c r="Q80" s="144" t="s">
        <v>635</v>
      </c>
      <c r="R80" s="136"/>
      <c r="S80" s="154">
        <v>510508</v>
      </c>
      <c r="T80" s="149">
        <v>0</v>
      </c>
      <c r="U80" s="149">
        <v>0</v>
      </c>
      <c r="V80" s="149">
        <v>0</v>
      </c>
      <c r="W80" s="149">
        <v>0</v>
      </c>
      <c r="X80" s="149">
        <v>2</v>
      </c>
      <c r="Y80" s="149">
        <v>0</v>
      </c>
      <c r="Z80" s="149">
        <v>0</v>
      </c>
      <c r="AA80" s="149">
        <v>0</v>
      </c>
      <c r="AB80" s="149">
        <v>0</v>
      </c>
      <c r="AC80" s="149">
        <v>0</v>
      </c>
      <c r="AD80" s="149">
        <v>0</v>
      </c>
      <c r="AE80" s="149">
        <v>0</v>
      </c>
      <c r="AF80" s="149">
        <v>0</v>
      </c>
      <c r="AG80" s="149">
        <v>0</v>
      </c>
      <c r="AH80" s="149">
        <v>0</v>
      </c>
      <c r="AI80" s="149">
        <v>0</v>
      </c>
      <c r="AJ80" s="149">
        <v>0</v>
      </c>
      <c r="AK80" s="149">
        <f t="shared" si="23"/>
        <v>39500</v>
      </c>
      <c r="AL80" s="149">
        <v>0</v>
      </c>
      <c r="AM80" s="149">
        <v>0</v>
      </c>
      <c r="AN80" s="149">
        <v>0</v>
      </c>
      <c r="AO80" s="149">
        <v>0</v>
      </c>
      <c r="AP80" s="149">
        <v>0</v>
      </c>
      <c r="AQ80" s="149">
        <v>0</v>
      </c>
      <c r="AR80" s="149">
        <v>0</v>
      </c>
      <c r="AS80" s="149">
        <v>0</v>
      </c>
      <c r="AT80" s="149">
        <v>0</v>
      </c>
      <c r="AU80" s="149">
        <v>0</v>
      </c>
      <c r="AV80" s="149">
        <v>0</v>
      </c>
      <c r="AW80" s="149">
        <v>0</v>
      </c>
      <c r="AX80" s="149">
        <v>0</v>
      </c>
      <c r="AY80" s="149">
        <v>0</v>
      </c>
      <c r="AZ80" s="149">
        <v>0</v>
      </c>
      <c r="BA80" s="149">
        <v>0</v>
      </c>
      <c r="BB80" s="149">
        <v>0</v>
      </c>
      <c r="BC80" s="149">
        <v>0</v>
      </c>
      <c r="BD80" s="149">
        <v>0</v>
      </c>
      <c r="BE80" s="149">
        <v>0</v>
      </c>
      <c r="BF80" s="149">
        <v>0</v>
      </c>
      <c r="BG80" s="149">
        <v>0</v>
      </c>
      <c r="BH80" s="149">
        <v>0</v>
      </c>
      <c r="BI80" s="149">
        <v>0</v>
      </c>
      <c r="BJ80" s="149">
        <v>0</v>
      </c>
      <c r="BK80" s="149">
        <v>0</v>
      </c>
      <c r="BL80" s="149">
        <v>0</v>
      </c>
      <c r="BM80" s="149">
        <v>0</v>
      </c>
      <c r="BN80" s="149">
        <v>0</v>
      </c>
      <c r="BO80" s="149">
        <v>0</v>
      </c>
      <c r="BP80" s="149">
        <v>0</v>
      </c>
      <c r="BQ80" s="149">
        <v>0</v>
      </c>
      <c r="BR80" s="149">
        <v>0</v>
      </c>
      <c r="BS80" s="149">
        <v>0</v>
      </c>
      <c r="BT80" s="149">
        <v>0</v>
      </c>
      <c r="BU80" s="149">
        <v>0</v>
      </c>
      <c r="BV80" s="149">
        <v>0</v>
      </c>
      <c r="BW80" s="149">
        <v>0</v>
      </c>
      <c r="BX80" s="149">
        <v>0</v>
      </c>
      <c r="BY80" s="149">
        <v>0</v>
      </c>
      <c r="BZ80" s="149">
        <v>0</v>
      </c>
    </row>
    <row r="81" spans="1:78">
      <c r="A81" s="149">
        <f t="shared" si="21"/>
        <v>20209</v>
      </c>
      <c r="B81" s="154">
        <f t="shared" si="22"/>
        <v>300013</v>
      </c>
      <c r="C81" s="128" t="e">
        <f>VLOOKUP(B81,Multilingual!A:B,2,FALSE)</f>
        <v>#N/A</v>
      </c>
      <c r="D81" s="154">
        <v>0</v>
      </c>
      <c r="E81" s="154">
        <v>0</v>
      </c>
      <c r="F81" s="154">
        <f t="shared" si="24"/>
        <v>20208</v>
      </c>
      <c r="G81" s="154">
        <v>3</v>
      </c>
      <c r="H81" s="154">
        <v>1</v>
      </c>
      <c r="I81" s="154">
        <v>1</v>
      </c>
      <c r="J81" s="154">
        <v>0</v>
      </c>
      <c r="K81" s="154">
        <v>0</v>
      </c>
      <c r="L81" s="154">
        <v>0</v>
      </c>
      <c r="M81" s="154">
        <v>0</v>
      </c>
      <c r="N81" s="136">
        <v>15000</v>
      </c>
      <c r="O81" s="136">
        <v>30</v>
      </c>
      <c r="P81" s="144" t="s">
        <v>634</v>
      </c>
      <c r="Q81" s="144" t="s">
        <v>635</v>
      </c>
      <c r="R81" s="136"/>
      <c r="S81" s="154">
        <v>510509</v>
      </c>
      <c r="T81" s="149">
        <v>0</v>
      </c>
      <c r="U81" s="149">
        <v>0</v>
      </c>
      <c r="V81" s="149">
        <v>0</v>
      </c>
      <c r="W81" s="149">
        <v>0</v>
      </c>
      <c r="X81" s="149">
        <v>2</v>
      </c>
      <c r="Y81" s="149">
        <v>0</v>
      </c>
      <c r="Z81" s="149">
        <v>0</v>
      </c>
      <c r="AA81" s="149">
        <v>0</v>
      </c>
      <c r="AB81" s="149">
        <v>0</v>
      </c>
      <c r="AC81" s="149">
        <v>0</v>
      </c>
      <c r="AD81" s="149">
        <v>0</v>
      </c>
      <c r="AE81" s="149">
        <v>0</v>
      </c>
      <c r="AF81" s="149">
        <v>0</v>
      </c>
      <c r="AG81" s="149">
        <v>0</v>
      </c>
      <c r="AH81" s="149">
        <v>0</v>
      </c>
      <c r="AI81" s="149">
        <v>0</v>
      </c>
      <c r="AJ81" s="149">
        <v>0</v>
      </c>
      <c r="AK81" s="149">
        <f t="shared" si="23"/>
        <v>41500</v>
      </c>
      <c r="AL81" s="149">
        <v>0</v>
      </c>
      <c r="AM81" s="149">
        <v>0</v>
      </c>
      <c r="AN81" s="149">
        <v>0</v>
      </c>
      <c r="AO81" s="149">
        <v>0</v>
      </c>
      <c r="AP81" s="149">
        <v>0</v>
      </c>
      <c r="AQ81" s="149">
        <v>0</v>
      </c>
      <c r="AR81" s="149">
        <v>0</v>
      </c>
      <c r="AS81" s="149">
        <v>0</v>
      </c>
      <c r="AT81" s="149">
        <v>0</v>
      </c>
      <c r="AU81" s="149">
        <v>0</v>
      </c>
      <c r="AV81" s="149">
        <v>0</v>
      </c>
      <c r="AW81" s="149">
        <v>0</v>
      </c>
      <c r="AX81" s="149">
        <v>0</v>
      </c>
      <c r="AY81" s="149">
        <v>0</v>
      </c>
      <c r="AZ81" s="149">
        <v>0</v>
      </c>
      <c r="BA81" s="149">
        <v>0</v>
      </c>
      <c r="BB81" s="149">
        <v>0</v>
      </c>
      <c r="BC81" s="149">
        <v>0</v>
      </c>
      <c r="BD81" s="149">
        <v>0</v>
      </c>
      <c r="BE81" s="149">
        <v>0</v>
      </c>
      <c r="BF81" s="149">
        <v>0</v>
      </c>
      <c r="BG81" s="149">
        <v>0</v>
      </c>
      <c r="BH81" s="149">
        <v>0</v>
      </c>
      <c r="BI81" s="149">
        <v>0</v>
      </c>
      <c r="BJ81" s="149">
        <v>0</v>
      </c>
      <c r="BK81" s="149">
        <v>0</v>
      </c>
      <c r="BL81" s="149">
        <v>0</v>
      </c>
      <c r="BM81" s="149">
        <v>0</v>
      </c>
      <c r="BN81" s="149">
        <v>0</v>
      </c>
      <c r="BO81" s="149">
        <v>0</v>
      </c>
      <c r="BP81" s="149">
        <v>0</v>
      </c>
      <c r="BQ81" s="149">
        <v>0</v>
      </c>
      <c r="BR81" s="149">
        <v>0</v>
      </c>
      <c r="BS81" s="149">
        <v>0</v>
      </c>
      <c r="BT81" s="149">
        <v>0</v>
      </c>
      <c r="BU81" s="149">
        <v>0</v>
      </c>
      <c r="BV81" s="149">
        <v>0</v>
      </c>
      <c r="BW81" s="149">
        <v>0</v>
      </c>
      <c r="BX81" s="149">
        <v>0</v>
      </c>
      <c r="BY81" s="149">
        <v>0</v>
      </c>
      <c r="BZ81" s="149">
        <v>0</v>
      </c>
    </row>
    <row r="82" spans="1:78">
      <c r="A82" s="149">
        <f t="shared" si="21"/>
        <v>20210</v>
      </c>
      <c r="B82" s="154">
        <f t="shared" si="22"/>
        <v>300013</v>
      </c>
      <c r="C82" s="128" t="e">
        <f>VLOOKUP(B82,Multilingual!A:B,2,FALSE)</f>
        <v>#N/A</v>
      </c>
      <c r="D82" s="154">
        <v>0</v>
      </c>
      <c r="E82" s="154">
        <v>0</v>
      </c>
      <c r="F82" s="154">
        <f t="shared" si="24"/>
        <v>20209</v>
      </c>
      <c r="G82" s="154">
        <v>3</v>
      </c>
      <c r="H82" s="154">
        <v>1</v>
      </c>
      <c r="I82" s="154">
        <v>1</v>
      </c>
      <c r="J82" s="154">
        <v>0</v>
      </c>
      <c r="K82" s="154">
        <v>0</v>
      </c>
      <c r="L82" s="154">
        <v>0</v>
      </c>
      <c r="M82" s="154">
        <v>0</v>
      </c>
      <c r="N82" s="136">
        <v>15000</v>
      </c>
      <c r="O82" s="136">
        <v>30</v>
      </c>
      <c r="P82" s="144" t="s">
        <v>634</v>
      </c>
      <c r="Q82" s="144" t="s">
        <v>635</v>
      </c>
      <c r="R82" s="136"/>
      <c r="S82" s="154">
        <v>510510</v>
      </c>
      <c r="T82" s="149">
        <v>0</v>
      </c>
      <c r="U82" s="149">
        <v>0</v>
      </c>
      <c r="V82" s="149">
        <v>0</v>
      </c>
      <c r="W82" s="149">
        <v>0</v>
      </c>
      <c r="X82" s="149">
        <v>2</v>
      </c>
      <c r="Y82" s="149">
        <v>0</v>
      </c>
      <c r="Z82" s="149">
        <v>0</v>
      </c>
      <c r="AA82" s="149">
        <v>0</v>
      </c>
      <c r="AB82" s="149">
        <v>0</v>
      </c>
      <c r="AC82" s="149">
        <v>0</v>
      </c>
      <c r="AD82" s="149">
        <v>0</v>
      </c>
      <c r="AE82" s="149">
        <v>0</v>
      </c>
      <c r="AF82" s="149">
        <v>0</v>
      </c>
      <c r="AG82" s="149">
        <v>0</v>
      </c>
      <c r="AH82" s="149">
        <v>0</v>
      </c>
      <c r="AI82" s="149">
        <v>0</v>
      </c>
      <c r="AJ82" s="149">
        <v>0</v>
      </c>
      <c r="AK82" s="149">
        <f t="shared" si="23"/>
        <v>43500</v>
      </c>
      <c r="AL82" s="149">
        <v>0</v>
      </c>
      <c r="AM82" s="149">
        <v>0</v>
      </c>
      <c r="AN82" s="149">
        <v>0</v>
      </c>
      <c r="AO82" s="149">
        <v>0</v>
      </c>
      <c r="AP82" s="149">
        <v>0</v>
      </c>
      <c r="AQ82" s="149">
        <v>0</v>
      </c>
      <c r="AR82" s="149">
        <v>0</v>
      </c>
      <c r="AS82" s="149">
        <v>0</v>
      </c>
      <c r="AT82" s="149">
        <v>0</v>
      </c>
      <c r="AU82" s="149">
        <v>0</v>
      </c>
      <c r="AV82" s="149">
        <v>0</v>
      </c>
      <c r="AW82" s="149">
        <v>0</v>
      </c>
      <c r="AX82" s="149">
        <v>0</v>
      </c>
      <c r="AY82" s="149">
        <v>0</v>
      </c>
      <c r="AZ82" s="149">
        <v>0</v>
      </c>
      <c r="BA82" s="149">
        <v>0</v>
      </c>
      <c r="BB82" s="149">
        <v>0</v>
      </c>
      <c r="BC82" s="149">
        <v>0</v>
      </c>
      <c r="BD82" s="149">
        <v>0</v>
      </c>
      <c r="BE82" s="149">
        <v>0</v>
      </c>
      <c r="BF82" s="149">
        <v>0</v>
      </c>
      <c r="BG82" s="149">
        <v>0</v>
      </c>
      <c r="BH82" s="149">
        <v>0</v>
      </c>
      <c r="BI82" s="149">
        <v>0</v>
      </c>
      <c r="BJ82" s="149">
        <v>0</v>
      </c>
      <c r="BK82" s="149">
        <v>0</v>
      </c>
      <c r="BL82" s="149">
        <v>0</v>
      </c>
      <c r="BM82" s="149">
        <v>0</v>
      </c>
      <c r="BN82" s="149">
        <v>0</v>
      </c>
      <c r="BO82" s="149">
        <v>0</v>
      </c>
      <c r="BP82" s="149">
        <v>0</v>
      </c>
      <c r="BQ82" s="149">
        <v>0</v>
      </c>
      <c r="BR82" s="149">
        <v>0</v>
      </c>
      <c r="BS82" s="149">
        <v>0</v>
      </c>
      <c r="BT82" s="149">
        <v>0</v>
      </c>
      <c r="BU82" s="149">
        <v>0</v>
      </c>
      <c r="BV82" s="149">
        <v>0</v>
      </c>
      <c r="BW82" s="149">
        <v>0</v>
      </c>
      <c r="BX82" s="149">
        <v>0</v>
      </c>
      <c r="BY82" s="149">
        <v>0</v>
      </c>
      <c r="BZ82" s="149">
        <v>0</v>
      </c>
    </row>
    <row r="83" spans="1:78">
      <c r="A83" s="149">
        <f>A73+100</f>
        <v>20301</v>
      </c>
      <c r="B83" s="154">
        <f>B82+1</f>
        <v>300014</v>
      </c>
      <c r="C83" s="128" t="e">
        <f>VLOOKUP(B83,Multilingual!A:B,2,FALSE)</f>
        <v>#N/A</v>
      </c>
      <c r="D83" s="154">
        <v>0</v>
      </c>
      <c r="E83" s="154">
        <v>0</v>
      </c>
      <c r="F83" s="154">
        <v>0</v>
      </c>
      <c r="G83" s="154">
        <v>3</v>
      </c>
      <c r="H83" s="154">
        <v>1</v>
      </c>
      <c r="I83" s="154">
        <v>1</v>
      </c>
      <c r="J83" s="154">
        <v>0</v>
      </c>
      <c r="K83" s="154">
        <v>0</v>
      </c>
      <c r="L83" s="154">
        <v>0</v>
      </c>
      <c r="M83" s="154">
        <v>0</v>
      </c>
      <c r="N83" s="136">
        <v>18000</v>
      </c>
      <c r="O83" s="136">
        <v>35</v>
      </c>
      <c r="P83" s="144" t="s">
        <v>636</v>
      </c>
      <c r="Q83" s="144" t="s">
        <v>637</v>
      </c>
      <c r="R83" s="144" t="s">
        <v>638</v>
      </c>
      <c r="S83" s="154">
        <v>510601</v>
      </c>
      <c r="T83" s="149">
        <v>0</v>
      </c>
      <c r="U83" s="149">
        <v>0</v>
      </c>
      <c r="V83" s="149">
        <v>0</v>
      </c>
      <c r="W83" s="149">
        <v>0</v>
      </c>
      <c r="X83" s="149">
        <v>2</v>
      </c>
      <c r="Y83" s="149">
        <v>0</v>
      </c>
      <c r="Z83" s="149">
        <v>0</v>
      </c>
      <c r="AA83" s="149">
        <v>0</v>
      </c>
      <c r="AB83" s="149">
        <v>0</v>
      </c>
      <c r="AC83" s="149">
        <v>0</v>
      </c>
      <c r="AD83" s="149">
        <v>0</v>
      </c>
      <c r="AE83" s="149">
        <v>0</v>
      </c>
      <c r="AF83" s="149">
        <v>0</v>
      </c>
      <c r="AG83" s="149">
        <v>0</v>
      </c>
      <c r="AH83" s="149">
        <v>0</v>
      </c>
      <c r="AI83" s="149">
        <v>0</v>
      </c>
      <c r="AJ83" s="149">
        <v>0</v>
      </c>
      <c r="AK83" s="149">
        <v>47500</v>
      </c>
      <c r="AL83" s="149">
        <v>0</v>
      </c>
      <c r="AM83" s="149">
        <v>0</v>
      </c>
      <c r="AN83" s="149">
        <v>0</v>
      </c>
      <c r="AO83" s="149">
        <v>0</v>
      </c>
      <c r="AP83" s="149">
        <v>0</v>
      </c>
      <c r="AQ83" s="149">
        <v>0</v>
      </c>
      <c r="AR83" s="149">
        <v>0</v>
      </c>
      <c r="AS83" s="149">
        <v>0</v>
      </c>
      <c r="AT83" s="149">
        <v>0</v>
      </c>
      <c r="AU83" s="149">
        <v>0</v>
      </c>
      <c r="AV83" s="149">
        <v>0</v>
      </c>
      <c r="AW83" s="149">
        <v>0</v>
      </c>
      <c r="AX83" s="149">
        <v>0</v>
      </c>
      <c r="AY83" s="149">
        <v>0</v>
      </c>
      <c r="AZ83" s="149">
        <v>0</v>
      </c>
      <c r="BA83" s="149">
        <v>0</v>
      </c>
      <c r="BB83" s="149">
        <v>0</v>
      </c>
      <c r="BC83" s="149">
        <v>0</v>
      </c>
      <c r="BD83" s="149">
        <v>0</v>
      </c>
      <c r="BE83" s="149">
        <v>0</v>
      </c>
      <c r="BF83" s="149">
        <v>0</v>
      </c>
      <c r="BG83" s="149">
        <v>0</v>
      </c>
      <c r="BH83" s="149">
        <v>0</v>
      </c>
      <c r="BI83" s="149">
        <v>0</v>
      </c>
      <c r="BJ83" s="149">
        <v>0</v>
      </c>
      <c r="BK83" s="149">
        <v>0</v>
      </c>
      <c r="BL83" s="149">
        <v>0</v>
      </c>
      <c r="BM83" s="149">
        <v>0</v>
      </c>
      <c r="BN83" s="149">
        <v>0</v>
      </c>
      <c r="BO83" s="149">
        <v>0</v>
      </c>
      <c r="BP83" s="149">
        <v>0</v>
      </c>
      <c r="BQ83" s="149">
        <v>0</v>
      </c>
      <c r="BR83" s="149">
        <v>0</v>
      </c>
      <c r="BS83" s="149">
        <v>0</v>
      </c>
      <c r="BT83" s="149">
        <v>0</v>
      </c>
      <c r="BU83" s="149">
        <v>0</v>
      </c>
      <c r="BV83" s="149">
        <v>0</v>
      </c>
      <c r="BW83" s="149">
        <v>0</v>
      </c>
      <c r="BX83" s="149">
        <v>0</v>
      </c>
      <c r="BY83" s="149">
        <v>0</v>
      </c>
      <c r="BZ83" s="149">
        <v>0</v>
      </c>
    </row>
    <row r="84" spans="1:78">
      <c r="A84" s="149">
        <f>A83+1</f>
        <v>20302</v>
      </c>
      <c r="B84" s="154">
        <f>B83</f>
        <v>300014</v>
      </c>
      <c r="C84" s="128" t="e">
        <f>VLOOKUP(B84,Multilingual!A:B,2,FALSE)</f>
        <v>#N/A</v>
      </c>
      <c r="D84" s="154">
        <v>0</v>
      </c>
      <c r="E84" s="154">
        <v>0</v>
      </c>
      <c r="F84" s="154">
        <f>F74+100</f>
        <v>20301</v>
      </c>
      <c r="G84" s="154">
        <v>3</v>
      </c>
      <c r="H84" s="154">
        <v>1</v>
      </c>
      <c r="I84" s="154">
        <v>1</v>
      </c>
      <c r="J84" s="154">
        <v>0</v>
      </c>
      <c r="K84" s="154">
        <v>0</v>
      </c>
      <c r="L84" s="154">
        <v>0</v>
      </c>
      <c r="M84" s="154">
        <v>0</v>
      </c>
      <c r="N84" s="136">
        <v>18000</v>
      </c>
      <c r="O84" s="136">
        <v>35</v>
      </c>
      <c r="P84" s="144" t="s">
        <v>636</v>
      </c>
      <c r="Q84" s="144" t="s">
        <v>637</v>
      </c>
      <c r="R84" s="144" t="s">
        <v>638</v>
      </c>
      <c r="S84" s="154">
        <v>510602</v>
      </c>
      <c r="T84" s="149">
        <v>0</v>
      </c>
      <c r="U84" s="149">
        <v>0</v>
      </c>
      <c r="V84" s="149">
        <v>0</v>
      </c>
      <c r="W84" s="149">
        <v>0</v>
      </c>
      <c r="X84" s="149">
        <v>2</v>
      </c>
      <c r="Y84" s="149">
        <v>0</v>
      </c>
      <c r="Z84" s="149">
        <v>0</v>
      </c>
      <c r="AA84" s="149">
        <v>0</v>
      </c>
      <c r="AB84" s="149">
        <v>0</v>
      </c>
      <c r="AC84" s="149">
        <v>0</v>
      </c>
      <c r="AD84" s="149">
        <v>0</v>
      </c>
      <c r="AE84" s="149">
        <v>0</v>
      </c>
      <c r="AF84" s="149">
        <v>0</v>
      </c>
      <c r="AG84" s="149">
        <v>0</v>
      </c>
      <c r="AH84" s="149">
        <v>0</v>
      </c>
      <c r="AI84" s="149">
        <v>0</v>
      </c>
      <c r="AJ84" s="149">
        <v>0</v>
      </c>
      <c r="AK84" s="149">
        <f>AK83+2500</f>
        <v>50000</v>
      </c>
      <c r="AL84" s="149">
        <v>0</v>
      </c>
      <c r="AM84" s="149">
        <v>0</v>
      </c>
      <c r="AN84" s="149">
        <v>0</v>
      </c>
      <c r="AO84" s="149">
        <v>0</v>
      </c>
      <c r="AP84" s="149">
        <v>0</v>
      </c>
      <c r="AQ84" s="149">
        <v>0</v>
      </c>
      <c r="AR84" s="149">
        <v>0</v>
      </c>
      <c r="AS84" s="149">
        <v>0</v>
      </c>
      <c r="AT84" s="149">
        <v>0</v>
      </c>
      <c r="AU84" s="149">
        <v>0</v>
      </c>
      <c r="AV84" s="149">
        <v>0</v>
      </c>
      <c r="AW84" s="149">
        <v>0</v>
      </c>
      <c r="AX84" s="149">
        <v>0</v>
      </c>
      <c r="AY84" s="149">
        <v>0</v>
      </c>
      <c r="AZ84" s="149">
        <v>0</v>
      </c>
      <c r="BA84" s="149">
        <v>0</v>
      </c>
      <c r="BB84" s="149">
        <v>0</v>
      </c>
      <c r="BC84" s="149">
        <v>0</v>
      </c>
      <c r="BD84" s="149">
        <v>0</v>
      </c>
      <c r="BE84" s="149">
        <v>0</v>
      </c>
      <c r="BF84" s="149">
        <v>0</v>
      </c>
      <c r="BG84" s="149">
        <v>0</v>
      </c>
      <c r="BH84" s="149">
        <v>0</v>
      </c>
      <c r="BI84" s="149">
        <v>0</v>
      </c>
      <c r="BJ84" s="149">
        <v>0</v>
      </c>
      <c r="BK84" s="149">
        <v>0</v>
      </c>
      <c r="BL84" s="149">
        <v>0</v>
      </c>
      <c r="BM84" s="149">
        <v>0</v>
      </c>
      <c r="BN84" s="149">
        <v>0</v>
      </c>
      <c r="BO84" s="149">
        <v>0</v>
      </c>
      <c r="BP84" s="149">
        <v>0</v>
      </c>
      <c r="BQ84" s="149">
        <v>0</v>
      </c>
      <c r="BR84" s="149">
        <v>0</v>
      </c>
      <c r="BS84" s="149">
        <v>0</v>
      </c>
      <c r="BT84" s="149">
        <v>0</v>
      </c>
      <c r="BU84" s="149">
        <v>0</v>
      </c>
      <c r="BV84" s="149">
        <v>0</v>
      </c>
      <c r="BW84" s="149">
        <v>0</v>
      </c>
      <c r="BX84" s="149">
        <v>0</v>
      </c>
      <c r="BY84" s="149">
        <v>0</v>
      </c>
      <c r="BZ84" s="149">
        <v>0</v>
      </c>
    </row>
    <row r="85" spans="1:78">
      <c r="A85" s="149">
        <f t="shared" ref="A85:A92" si="25">A84+1</f>
        <v>20303</v>
      </c>
      <c r="B85" s="154">
        <f t="shared" ref="B85:B92" si="26">B84</f>
        <v>300014</v>
      </c>
      <c r="C85" s="128" t="e">
        <f>VLOOKUP(B85,Multilingual!A:B,2,FALSE)</f>
        <v>#N/A</v>
      </c>
      <c r="D85" s="154">
        <v>0</v>
      </c>
      <c r="E85" s="154">
        <v>0</v>
      </c>
      <c r="F85" s="154">
        <f>F84+1</f>
        <v>20302</v>
      </c>
      <c r="G85" s="154">
        <v>3</v>
      </c>
      <c r="H85" s="154">
        <v>1</v>
      </c>
      <c r="I85" s="154">
        <v>1</v>
      </c>
      <c r="J85" s="154">
        <v>0</v>
      </c>
      <c r="K85" s="154">
        <v>0</v>
      </c>
      <c r="L85" s="154">
        <v>0</v>
      </c>
      <c r="M85" s="154">
        <v>0</v>
      </c>
      <c r="N85" s="136">
        <v>18000</v>
      </c>
      <c r="O85" s="136">
        <v>35</v>
      </c>
      <c r="P85" s="144" t="s">
        <v>636</v>
      </c>
      <c r="Q85" s="144" t="s">
        <v>637</v>
      </c>
      <c r="R85" s="144" t="s">
        <v>638</v>
      </c>
      <c r="S85" s="154">
        <v>510603</v>
      </c>
      <c r="T85" s="149">
        <v>0</v>
      </c>
      <c r="U85" s="149">
        <v>0</v>
      </c>
      <c r="V85" s="149">
        <v>0</v>
      </c>
      <c r="W85" s="149">
        <v>0</v>
      </c>
      <c r="X85" s="149">
        <v>2</v>
      </c>
      <c r="Y85" s="149">
        <v>0</v>
      </c>
      <c r="Z85" s="149">
        <v>0</v>
      </c>
      <c r="AA85" s="149">
        <v>0</v>
      </c>
      <c r="AB85" s="149">
        <v>0</v>
      </c>
      <c r="AC85" s="149">
        <v>0</v>
      </c>
      <c r="AD85" s="149">
        <v>0</v>
      </c>
      <c r="AE85" s="149">
        <v>0</v>
      </c>
      <c r="AF85" s="149">
        <v>0</v>
      </c>
      <c r="AG85" s="149">
        <v>0</v>
      </c>
      <c r="AH85" s="149">
        <v>0</v>
      </c>
      <c r="AI85" s="149">
        <v>0</v>
      </c>
      <c r="AJ85" s="149">
        <v>0</v>
      </c>
      <c r="AK85" s="149">
        <f t="shared" ref="AK85:AK92" si="27">AK84+2500</f>
        <v>52500</v>
      </c>
      <c r="AL85" s="149">
        <v>0</v>
      </c>
      <c r="AM85" s="149">
        <v>0</v>
      </c>
      <c r="AN85" s="149">
        <v>0</v>
      </c>
      <c r="AO85" s="149">
        <v>0</v>
      </c>
      <c r="AP85" s="149">
        <v>0</v>
      </c>
      <c r="AQ85" s="149">
        <v>0</v>
      </c>
      <c r="AR85" s="149">
        <v>0</v>
      </c>
      <c r="AS85" s="149">
        <v>0</v>
      </c>
      <c r="AT85" s="149">
        <v>0</v>
      </c>
      <c r="AU85" s="149">
        <v>0</v>
      </c>
      <c r="AV85" s="149">
        <v>0</v>
      </c>
      <c r="AW85" s="149">
        <v>0</v>
      </c>
      <c r="AX85" s="149">
        <v>0</v>
      </c>
      <c r="AY85" s="149">
        <v>0</v>
      </c>
      <c r="AZ85" s="149">
        <v>0</v>
      </c>
      <c r="BA85" s="149">
        <v>0</v>
      </c>
      <c r="BB85" s="149">
        <v>0</v>
      </c>
      <c r="BC85" s="149">
        <v>0</v>
      </c>
      <c r="BD85" s="149">
        <v>0</v>
      </c>
      <c r="BE85" s="149">
        <v>0</v>
      </c>
      <c r="BF85" s="149">
        <v>0</v>
      </c>
      <c r="BG85" s="149">
        <v>0</v>
      </c>
      <c r="BH85" s="149">
        <v>0</v>
      </c>
      <c r="BI85" s="149">
        <v>0</v>
      </c>
      <c r="BJ85" s="149">
        <v>0</v>
      </c>
      <c r="BK85" s="149">
        <v>0</v>
      </c>
      <c r="BL85" s="149">
        <v>0</v>
      </c>
      <c r="BM85" s="149">
        <v>0</v>
      </c>
      <c r="BN85" s="149">
        <v>0</v>
      </c>
      <c r="BO85" s="149">
        <v>0</v>
      </c>
      <c r="BP85" s="149">
        <v>0</v>
      </c>
      <c r="BQ85" s="149">
        <v>0</v>
      </c>
      <c r="BR85" s="149">
        <v>0</v>
      </c>
      <c r="BS85" s="149">
        <v>0</v>
      </c>
      <c r="BT85" s="149">
        <v>0</v>
      </c>
      <c r="BU85" s="149">
        <v>0</v>
      </c>
      <c r="BV85" s="149">
        <v>0</v>
      </c>
      <c r="BW85" s="149">
        <v>0</v>
      </c>
      <c r="BX85" s="149">
        <v>0</v>
      </c>
      <c r="BY85" s="149">
        <v>0</v>
      </c>
      <c r="BZ85" s="149">
        <v>0</v>
      </c>
    </row>
    <row r="86" spans="1:78">
      <c r="A86" s="149">
        <f t="shared" si="25"/>
        <v>20304</v>
      </c>
      <c r="B86" s="154">
        <f t="shared" si="26"/>
        <v>300014</v>
      </c>
      <c r="C86" s="128" t="e">
        <f>VLOOKUP(B86,Multilingual!A:B,2,FALSE)</f>
        <v>#N/A</v>
      </c>
      <c r="D86" s="154">
        <v>0</v>
      </c>
      <c r="E86" s="154">
        <v>0</v>
      </c>
      <c r="F86" s="154">
        <f t="shared" ref="F86:F92" si="28">F85+1</f>
        <v>20303</v>
      </c>
      <c r="G86" s="154">
        <v>3</v>
      </c>
      <c r="H86" s="154">
        <v>1</v>
      </c>
      <c r="I86" s="154">
        <v>1</v>
      </c>
      <c r="J86" s="154">
        <v>0</v>
      </c>
      <c r="K86" s="154">
        <v>0</v>
      </c>
      <c r="L86" s="154">
        <v>0</v>
      </c>
      <c r="M86" s="154">
        <v>0</v>
      </c>
      <c r="N86" s="136">
        <v>18000</v>
      </c>
      <c r="O86" s="136">
        <v>35</v>
      </c>
      <c r="P86" s="144" t="s">
        <v>636</v>
      </c>
      <c r="Q86" s="144" t="s">
        <v>637</v>
      </c>
      <c r="R86" s="144" t="s">
        <v>638</v>
      </c>
      <c r="S86" s="154">
        <v>510604</v>
      </c>
      <c r="T86" s="149">
        <v>0</v>
      </c>
      <c r="U86" s="149">
        <v>0</v>
      </c>
      <c r="V86" s="149">
        <v>0</v>
      </c>
      <c r="W86" s="149">
        <v>0</v>
      </c>
      <c r="X86" s="149">
        <v>2</v>
      </c>
      <c r="Y86" s="149">
        <v>0</v>
      </c>
      <c r="Z86" s="149">
        <v>0</v>
      </c>
      <c r="AA86" s="149">
        <v>0</v>
      </c>
      <c r="AB86" s="149">
        <v>0</v>
      </c>
      <c r="AC86" s="149">
        <v>0</v>
      </c>
      <c r="AD86" s="149">
        <v>0</v>
      </c>
      <c r="AE86" s="149">
        <v>0</v>
      </c>
      <c r="AF86" s="149">
        <v>0</v>
      </c>
      <c r="AG86" s="149">
        <v>0</v>
      </c>
      <c r="AH86" s="149">
        <v>0</v>
      </c>
      <c r="AI86" s="149">
        <v>0</v>
      </c>
      <c r="AJ86" s="149">
        <v>0</v>
      </c>
      <c r="AK86" s="149">
        <f t="shared" si="27"/>
        <v>55000</v>
      </c>
      <c r="AL86" s="149">
        <v>0</v>
      </c>
      <c r="AM86" s="149">
        <v>0</v>
      </c>
      <c r="AN86" s="149">
        <v>0</v>
      </c>
      <c r="AO86" s="149">
        <v>0</v>
      </c>
      <c r="AP86" s="149">
        <v>0</v>
      </c>
      <c r="AQ86" s="149">
        <v>0</v>
      </c>
      <c r="AR86" s="149">
        <v>0</v>
      </c>
      <c r="AS86" s="149">
        <v>0</v>
      </c>
      <c r="AT86" s="149">
        <v>0</v>
      </c>
      <c r="AU86" s="149">
        <v>0</v>
      </c>
      <c r="AV86" s="149">
        <v>0</v>
      </c>
      <c r="AW86" s="149">
        <v>0</v>
      </c>
      <c r="AX86" s="149">
        <v>0</v>
      </c>
      <c r="AY86" s="149">
        <v>0</v>
      </c>
      <c r="AZ86" s="149">
        <v>0</v>
      </c>
      <c r="BA86" s="149">
        <v>0</v>
      </c>
      <c r="BB86" s="149">
        <v>0</v>
      </c>
      <c r="BC86" s="149">
        <v>0</v>
      </c>
      <c r="BD86" s="149">
        <v>0</v>
      </c>
      <c r="BE86" s="149">
        <v>0</v>
      </c>
      <c r="BF86" s="149">
        <v>0</v>
      </c>
      <c r="BG86" s="149">
        <v>0</v>
      </c>
      <c r="BH86" s="149">
        <v>0</v>
      </c>
      <c r="BI86" s="149">
        <v>0</v>
      </c>
      <c r="BJ86" s="149">
        <v>0</v>
      </c>
      <c r="BK86" s="149">
        <v>0</v>
      </c>
      <c r="BL86" s="149">
        <v>0</v>
      </c>
      <c r="BM86" s="149">
        <v>0</v>
      </c>
      <c r="BN86" s="149">
        <v>0</v>
      </c>
      <c r="BO86" s="149">
        <v>0</v>
      </c>
      <c r="BP86" s="149">
        <v>0</v>
      </c>
      <c r="BQ86" s="149">
        <v>0</v>
      </c>
      <c r="BR86" s="149">
        <v>0</v>
      </c>
      <c r="BS86" s="149">
        <v>0</v>
      </c>
      <c r="BT86" s="149">
        <v>0</v>
      </c>
      <c r="BU86" s="149">
        <v>0</v>
      </c>
      <c r="BV86" s="149">
        <v>0</v>
      </c>
      <c r="BW86" s="149">
        <v>0</v>
      </c>
      <c r="BX86" s="149">
        <v>0</v>
      </c>
      <c r="BY86" s="149">
        <v>0</v>
      </c>
      <c r="BZ86" s="149">
        <v>0</v>
      </c>
    </row>
    <row r="87" spans="1:78">
      <c r="A87" s="149">
        <f t="shared" si="25"/>
        <v>20305</v>
      </c>
      <c r="B87" s="154">
        <f t="shared" si="26"/>
        <v>300014</v>
      </c>
      <c r="C87" s="128" t="e">
        <f>VLOOKUP(B87,Multilingual!A:B,2,FALSE)</f>
        <v>#N/A</v>
      </c>
      <c r="D87" s="154">
        <v>0</v>
      </c>
      <c r="E87" s="154">
        <v>0</v>
      </c>
      <c r="F87" s="154">
        <f t="shared" si="28"/>
        <v>20304</v>
      </c>
      <c r="G87" s="154">
        <v>3</v>
      </c>
      <c r="H87" s="154">
        <v>1</v>
      </c>
      <c r="I87" s="154">
        <v>1</v>
      </c>
      <c r="J87" s="154">
        <v>0</v>
      </c>
      <c r="K87" s="154">
        <v>0</v>
      </c>
      <c r="L87" s="154">
        <v>0</v>
      </c>
      <c r="M87" s="154">
        <v>0</v>
      </c>
      <c r="N87" s="136">
        <v>18000</v>
      </c>
      <c r="O87" s="136">
        <v>35</v>
      </c>
      <c r="P87" s="144" t="s">
        <v>636</v>
      </c>
      <c r="Q87" s="144" t="s">
        <v>637</v>
      </c>
      <c r="R87" s="144" t="s">
        <v>638</v>
      </c>
      <c r="S87" s="154">
        <v>510605</v>
      </c>
      <c r="T87" s="149">
        <v>0</v>
      </c>
      <c r="U87" s="149">
        <v>0</v>
      </c>
      <c r="V87" s="149">
        <v>0</v>
      </c>
      <c r="W87" s="149">
        <v>0</v>
      </c>
      <c r="X87" s="149">
        <v>2</v>
      </c>
      <c r="Y87" s="149">
        <v>0</v>
      </c>
      <c r="Z87" s="149">
        <v>0</v>
      </c>
      <c r="AA87" s="149">
        <v>0</v>
      </c>
      <c r="AB87" s="149">
        <v>0</v>
      </c>
      <c r="AC87" s="149">
        <v>0</v>
      </c>
      <c r="AD87" s="149">
        <v>0</v>
      </c>
      <c r="AE87" s="149">
        <v>0</v>
      </c>
      <c r="AF87" s="149">
        <v>0</v>
      </c>
      <c r="AG87" s="149">
        <v>0</v>
      </c>
      <c r="AH87" s="149">
        <v>0</v>
      </c>
      <c r="AI87" s="149">
        <v>0</v>
      </c>
      <c r="AJ87" s="149">
        <v>0</v>
      </c>
      <c r="AK87" s="149">
        <f t="shared" si="27"/>
        <v>57500</v>
      </c>
      <c r="AL87" s="149">
        <v>0</v>
      </c>
      <c r="AM87" s="149">
        <v>0</v>
      </c>
      <c r="AN87" s="149">
        <v>0</v>
      </c>
      <c r="AO87" s="149">
        <v>0</v>
      </c>
      <c r="AP87" s="149">
        <v>0</v>
      </c>
      <c r="AQ87" s="149">
        <v>0</v>
      </c>
      <c r="AR87" s="149">
        <v>0</v>
      </c>
      <c r="AS87" s="149">
        <v>0</v>
      </c>
      <c r="AT87" s="149">
        <v>0</v>
      </c>
      <c r="AU87" s="149">
        <v>0</v>
      </c>
      <c r="AV87" s="149">
        <v>0</v>
      </c>
      <c r="AW87" s="149">
        <v>0</v>
      </c>
      <c r="AX87" s="149">
        <v>0</v>
      </c>
      <c r="AY87" s="149">
        <v>0</v>
      </c>
      <c r="AZ87" s="149">
        <v>0</v>
      </c>
      <c r="BA87" s="149">
        <v>0</v>
      </c>
      <c r="BB87" s="149">
        <v>0</v>
      </c>
      <c r="BC87" s="149">
        <v>0</v>
      </c>
      <c r="BD87" s="149">
        <v>0</v>
      </c>
      <c r="BE87" s="149">
        <v>0</v>
      </c>
      <c r="BF87" s="149">
        <v>0</v>
      </c>
      <c r="BG87" s="149">
        <v>0</v>
      </c>
      <c r="BH87" s="149">
        <v>0</v>
      </c>
      <c r="BI87" s="149">
        <v>0</v>
      </c>
      <c r="BJ87" s="149">
        <v>0</v>
      </c>
      <c r="BK87" s="149">
        <v>0</v>
      </c>
      <c r="BL87" s="149">
        <v>0</v>
      </c>
      <c r="BM87" s="149">
        <v>0</v>
      </c>
      <c r="BN87" s="149">
        <v>0</v>
      </c>
      <c r="BO87" s="149">
        <v>0</v>
      </c>
      <c r="BP87" s="149">
        <v>0</v>
      </c>
      <c r="BQ87" s="149">
        <v>0</v>
      </c>
      <c r="BR87" s="149">
        <v>0</v>
      </c>
      <c r="BS87" s="149">
        <v>0</v>
      </c>
      <c r="BT87" s="149">
        <v>0</v>
      </c>
      <c r="BU87" s="149">
        <v>0</v>
      </c>
      <c r="BV87" s="149">
        <v>0</v>
      </c>
      <c r="BW87" s="149">
        <v>0</v>
      </c>
      <c r="BX87" s="149">
        <v>0</v>
      </c>
      <c r="BY87" s="149">
        <v>0</v>
      </c>
      <c r="BZ87" s="149">
        <v>0</v>
      </c>
    </row>
    <row r="88" spans="1:78">
      <c r="A88" s="149">
        <f t="shared" si="25"/>
        <v>20306</v>
      </c>
      <c r="B88" s="154">
        <f t="shared" si="26"/>
        <v>300014</v>
      </c>
      <c r="C88" s="128" t="e">
        <f>VLOOKUP(B88,Multilingual!A:B,2,FALSE)</f>
        <v>#N/A</v>
      </c>
      <c r="D88" s="154">
        <v>0</v>
      </c>
      <c r="E88" s="154">
        <v>0</v>
      </c>
      <c r="F88" s="154">
        <f t="shared" si="28"/>
        <v>20305</v>
      </c>
      <c r="G88" s="154">
        <v>3</v>
      </c>
      <c r="H88" s="154">
        <v>1</v>
      </c>
      <c r="I88" s="154">
        <v>1</v>
      </c>
      <c r="J88" s="154">
        <v>0</v>
      </c>
      <c r="K88" s="154">
        <v>0</v>
      </c>
      <c r="L88" s="154">
        <v>0</v>
      </c>
      <c r="M88" s="154">
        <v>0</v>
      </c>
      <c r="N88" s="136">
        <v>18000</v>
      </c>
      <c r="O88" s="136">
        <v>35</v>
      </c>
      <c r="P88" s="144" t="s">
        <v>636</v>
      </c>
      <c r="Q88" s="144" t="s">
        <v>637</v>
      </c>
      <c r="R88" s="144" t="s">
        <v>638</v>
      </c>
      <c r="S88" s="154">
        <v>510606</v>
      </c>
      <c r="T88" s="149">
        <v>0</v>
      </c>
      <c r="U88" s="149">
        <v>0</v>
      </c>
      <c r="V88" s="149">
        <v>0</v>
      </c>
      <c r="W88" s="149">
        <v>0</v>
      </c>
      <c r="X88" s="149">
        <v>2</v>
      </c>
      <c r="Y88" s="149">
        <v>0</v>
      </c>
      <c r="Z88" s="149">
        <v>0</v>
      </c>
      <c r="AA88" s="149">
        <v>0</v>
      </c>
      <c r="AB88" s="149">
        <v>0</v>
      </c>
      <c r="AC88" s="149">
        <v>0</v>
      </c>
      <c r="AD88" s="149">
        <v>0</v>
      </c>
      <c r="AE88" s="149">
        <v>0</v>
      </c>
      <c r="AF88" s="149">
        <v>0</v>
      </c>
      <c r="AG88" s="149">
        <v>0</v>
      </c>
      <c r="AH88" s="149">
        <v>0</v>
      </c>
      <c r="AI88" s="149">
        <v>0</v>
      </c>
      <c r="AJ88" s="149">
        <v>0</v>
      </c>
      <c r="AK88" s="149">
        <f t="shared" si="27"/>
        <v>60000</v>
      </c>
      <c r="AL88" s="149">
        <v>0</v>
      </c>
      <c r="AM88" s="149">
        <v>0</v>
      </c>
      <c r="AN88" s="149">
        <v>0</v>
      </c>
      <c r="AO88" s="149">
        <v>0</v>
      </c>
      <c r="AP88" s="149">
        <v>0</v>
      </c>
      <c r="AQ88" s="149">
        <v>0</v>
      </c>
      <c r="AR88" s="149">
        <v>0</v>
      </c>
      <c r="AS88" s="149">
        <v>0</v>
      </c>
      <c r="AT88" s="149">
        <v>0</v>
      </c>
      <c r="AU88" s="149">
        <v>0</v>
      </c>
      <c r="AV88" s="149">
        <v>0</v>
      </c>
      <c r="AW88" s="149">
        <v>0</v>
      </c>
      <c r="AX88" s="149">
        <v>0</v>
      </c>
      <c r="AY88" s="149">
        <v>0</v>
      </c>
      <c r="AZ88" s="149">
        <v>0</v>
      </c>
      <c r="BA88" s="149">
        <v>0</v>
      </c>
      <c r="BB88" s="149">
        <v>0</v>
      </c>
      <c r="BC88" s="149">
        <v>0</v>
      </c>
      <c r="BD88" s="149">
        <v>0</v>
      </c>
      <c r="BE88" s="149">
        <v>0</v>
      </c>
      <c r="BF88" s="149">
        <v>0</v>
      </c>
      <c r="BG88" s="149">
        <v>0</v>
      </c>
      <c r="BH88" s="149">
        <v>0</v>
      </c>
      <c r="BI88" s="149">
        <v>0</v>
      </c>
      <c r="BJ88" s="149">
        <v>0</v>
      </c>
      <c r="BK88" s="149">
        <v>0</v>
      </c>
      <c r="BL88" s="149">
        <v>0</v>
      </c>
      <c r="BM88" s="149">
        <v>0</v>
      </c>
      <c r="BN88" s="149">
        <v>0</v>
      </c>
      <c r="BO88" s="149">
        <v>0</v>
      </c>
      <c r="BP88" s="149">
        <v>0</v>
      </c>
      <c r="BQ88" s="149">
        <v>0</v>
      </c>
      <c r="BR88" s="149">
        <v>0</v>
      </c>
      <c r="BS88" s="149">
        <v>0</v>
      </c>
      <c r="BT88" s="149">
        <v>0</v>
      </c>
      <c r="BU88" s="149">
        <v>0</v>
      </c>
      <c r="BV88" s="149">
        <v>0</v>
      </c>
      <c r="BW88" s="149">
        <v>0</v>
      </c>
      <c r="BX88" s="149">
        <v>0</v>
      </c>
      <c r="BY88" s="149">
        <v>0</v>
      </c>
      <c r="BZ88" s="149">
        <v>0</v>
      </c>
    </row>
    <row r="89" spans="1:78">
      <c r="A89" s="149">
        <f t="shared" si="25"/>
        <v>20307</v>
      </c>
      <c r="B89" s="154">
        <f t="shared" si="26"/>
        <v>300014</v>
      </c>
      <c r="C89" s="128" t="e">
        <f>VLOOKUP(B89,Multilingual!A:B,2,FALSE)</f>
        <v>#N/A</v>
      </c>
      <c r="D89" s="154">
        <v>0</v>
      </c>
      <c r="E89" s="154">
        <v>0</v>
      </c>
      <c r="F89" s="154">
        <f t="shared" si="28"/>
        <v>20306</v>
      </c>
      <c r="G89" s="154">
        <v>3</v>
      </c>
      <c r="H89" s="154">
        <v>1</v>
      </c>
      <c r="I89" s="154">
        <v>1</v>
      </c>
      <c r="J89" s="154">
        <v>0</v>
      </c>
      <c r="K89" s="154">
        <v>0</v>
      </c>
      <c r="L89" s="154">
        <v>0</v>
      </c>
      <c r="M89" s="154">
        <v>0</v>
      </c>
      <c r="N89" s="136">
        <v>18000</v>
      </c>
      <c r="O89" s="136">
        <v>35</v>
      </c>
      <c r="P89" s="144" t="s">
        <v>636</v>
      </c>
      <c r="Q89" s="144" t="s">
        <v>637</v>
      </c>
      <c r="R89" s="144" t="s">
        <v>638</v>
      </c>
      <c r="S89" s="154">
        <v>510607</v>
      </c>
      <c r="T89" s="149">
        <v>0</v>
      </c>
      <c r="U89" s="149">
        <v>0</v>
      </c>
      <c r="V89" s="149">
        <v>0</v>
      </c>
      <c r="W89" s="149">
        <v>0</v>
      </c>
      <c r="X89" s="149">
        <v>2</v>
      </c>
      <c r="Y89" s="149">
        <v>0</v>
      </c>
      <c r="Z89" s="149">
        <v>0</v>
      </c>
      <c r="AA89" s="149">
        <v>0</v>
      </c>
      <c r="AB89" s="149">
        <v>0</v>
      </c>
      <c r="AC89" s="149">
        <v>0</v>
      </c>
      <c r="AD89" s="149">
        <v>0</v>
      </c>
      <c r="AE89" s="149">
        <v>0</v>
      </c>
      <c r="AF89" s="149">
        <v>0</v>
      </c>
      <c r="AG89" s="149">
        <v>0</v>
      </c>
      <c r="AH89" s="149">
        <v>0</v>
      </c>
      <c r="AI89" s="149">
        <v>0</v>
      </c>
      <c r="AJ89" s="149">
        <v>0</v>
      </c>
      <c r="AK89" s="149">
        <f t="shared" si="27"/>
        <v>62500</v>
      </c>
      <c r="AL89" s="149">
        <v>0</v>
      </c>
      <c r="AM89" s="149">
        <v>0</v>
      </c>
      <c r="AN89" s="149">
        <v>0</v>
      </c>
      <c r="AO89" s="149">
        <v>0</v>
      </c>
      <c r="AP89" s="149">
        <v>0</v>
      </c>
      <c r="AQ89" s="149">
        <v>0</v>
      </c>
      <c r="AR89" s="149">
        <v>0</v>
      </c>
      <c r="AS89" s="149">
        <v>0</v>
      </c>
      <c r="AT89" s="149">
        <v>0</v>
      </c>
      <c r="AU89" s="149">
        <v>0</v>
      </c>
      <c r="AV89" s="149">
        <v>0</v>
      </c>
      <c r="AW89" s="149">
        <v>0</v>
      </c>
      <c r="AX89" s="149">
        <v>0</v>
      </c>
      <c r="AY89" s="149">
        <v>0</v>
      </c>
      <c r="AZ89" s="149">
        <v>0</v>
      </c>
      <c r="BA89" s="149">
        <v>0</v>
      </c>
      <c r="BB89" s="149">
        <v>0</v>
      </c>
      <c r="BC89" s="149">
        <v>0</v>
      </c>
      <c r="BD89" s="149">
        <v>0</v>
      </c>
      <c r="BE89" s="149">
        <v>0</v>
      </c>
      <c r="BF89" s="149">
        <v>0</v>
      </c>
      <c r="BG89" s="149">
        <v>0</v>
      </c>
      <c r="BH89" s="149">
        <v>0</v>
      </c>
      <c r="BI89" s="149">
        <v>0</v>
      </c>
      <c r="BJ89" s="149">
        <v>0</v>
      </c>
      <c r="BK89" s="149">
        <v>0</v>
      </c>
      <c r="BL89" s="149">
        <v>0</v>
      </c>
      <c r="BM89" s="149">
        <v>0</v>
      </c>
      <c r="BN89" s="149">
        <v>0</v>
      </c>
      <c r="BO89" s="149">
        <v>0</v>
      </c>
      <c r="BP89" s="149">
        <v>0</v>
      </c>
      <c r="BQ89" s="149">
        <v>0</v>
      </c>
      <c r="BR89" s="149">
        <v>0</v>
      </c>
      <c r="BS89" s="149">
        <v>0</v>
      </c>
      <c r="BT89" s="149">
        <v>0</v>
      </c>
      <c r="BU89" s="149">
        <v>0</v>
      </c>
      <c r="BV89" s="149">
        <v>0</v>
      </c>
      <c r="BW89" s="149">
        <v>0</v>
      </c>
      <c r="BX89" s="149">
        <v>0</v>
      </c>
      <c r="BY89" s="149">
        <v>0</v>
      </c>
      <c r="BZ89" s="149">
        <v>0</v>
      </c>
    </row>
    <row r="90" spans="1:78">
      <c r="A90" s="149">
        <f t="shared" si="25"/>
        <v>20308</v>
      </c>
      <c r="B90" s="154">
        <f t="shared" si="26"/>
        <v>300014</v>
      </c>
      <c r="C90" s="128" t="e">
        <f>VLOOKUP(B90,Multilingual!A:B,2,FALSE)</f>
        <v>#N/A</v>
      </c>
      <c r="D90" s="154">
        <v>0</v>
      </c>
      <c r="E90" s="154">
        <v>0</v>
      </c>
      <c r="F90" s="154">
        <f t="shared" si="28"/>
        <v>20307</v>
      </c>
      <c r="G90" s="154">
        <v>3</v>
      </c>
      <c r="H90" s="154">
        <v>1</v>
      </c>
      <c r="I90" s="154">
        <v>1</v>
      </c>
      <c r="J90" s="154">
        <v>0</v>
      </c>
      <c r="K90" s="154">
        <v>0</v>
      </c>
      <c r="L90" s="154">
        <v>0</v>
      </c>
      <c r="M90" s="154">
        <v>0</v>
      </c>
      <c r="N90" s="136">
        <v>18000</v>
      </c>
      <c r="O90" s="136">
        <v>35</v>
      </c>
      <c r="P90" s="144" t="s">
        <v>636</v>
      </c>
      <c r="Q90" s="144" t="s">
        <v>637</v>
      </c>
      <c r="R90" s="144" t="s">
        <v>638</v>
      </c>
      <c r="S90" s="154">
        <v>510608</v>
      </c>
      <c r="T90" s="149">
        <v>0</v>
      </c>
      <c r="U90" s="149">
        <v>0</v>
      </c>
      <c r="V90" s="149">
        <v>0</v>
      </c>
      <c r="W90" s="149">
        <v>0</v>
      </c>
      <c r="X90" s="149">
        <v>2</v>
      </c>
      <c r="Y90" s="149">
        <v>0</v>
      </c>
      <c r="Z90" s="149">
        <v>0</v>
      </c>
      <c r="AA90" s="149">
        <v>0</v>
      </c>
      <c r="AB90" s="149">
        <v>0</v>
      </c>
      <c r="AC90" s="149">
        <v>0</v>
      </c>
      <c r="AD90" s="149">
        <v>0</v>
      </c>
      <c r="AE90" s="149">
        <v>0</v>
      </c>
      <c r="AF90" s="149">
        <v>0</v>
      </c>
      <c r="AG90" s="149">
        <v>0</v>
      </c>
      <c r="AH90" s="149">
        <v>0</v>
      </c>
      <c r="AI90" s="149">
        <v>0</v>
      </c>
      <c r="AJ90" s="149">
        <v>0</v>
      </c>
      <c r="AK90" s="149">
        <f t="shared" si="27"/>
        <v>65000</v>
      </c>
      <c r="AL90" s="149">
        <v>0</v>
      </c>
      <c r="AM90" s="149">
        <v>0</v>
      </c>
      <c r="AN90" s="149">
        <v>0</v>
      </c>
      <c r="AO90" s="149">
        <v>0</v>
      </c>
      <c r="AP90" s="149">
        <v>0</v>
      </c>
      <c r="AQ90" s="149">
        <v>0</v>
      </c>
      <c r="AR90" s="149">
        <v>0</v>
      </c>
      <c r="AS90" s="149">
        <v>0</v>
      </c>
      <c r="AT90" s="149">
        <v>0</v>
      </c>
      <c r="AU90" s="149">
        <v>0</v>
      </c>
      <c r="AV90" s="149">
        <v>0</v>
      </c>
      <c r="AW90" s="149">
        <v>0</v>
      </c>
      <c r="AX90" s="149">
        <v>0</v>
      </c>
      <c r="AY90" s="149">
        <v>0</v>
      </c>
      <c r="AZ90" s="149">
        <v>0</v>
      </c>
      <c r="BA90" s="149">
        <v>0</v>
      </c>
      <c r="BB90" s="149">
        <v>0</v>
      </c>
      <c r="BC90" s="149">
        <v>0</v>
      </c>
      <c r="BD90" s="149">
        <v>0</v>
      </c>
      <c r="BE90" s="149">
        <v>0</v>
      </c>
      <c r="BF90" s="149">
        <v>0</v>
      </c>
      <c r="BG90" s="149">
        <v>0</v>
      </c>
      <c r="BH90" s="149">
        <v>0</v>
      </c>
      <c r="BI90" s="149">
        <v>0</v>
      </c>
      <c r="BJ90" s="149">
        <v>0</v>
      </c>
      <c r="BK90" s="149">
        <v>0</v>
      </c>
      <c r="BL90" s="149">
        <v>0</v>
      </c>
      <c r="BM90" s="149">
        <v>0</v>
      </c>
      <c r="BN90" s="149">
        <v>0</v>
      </c>
      <c r="BO90" s="149">
        <v>0</v>
      </c>
      <c r="BP90" s="149">
        <v>0</v>
      </c>
      <c r="BQ90" s="149">
        <v>0</v>
      </c>
      <c r="BR90" s="149">
        <v>0</v>
      </c>
      <c r="BS90" s="149">
        <v>0</v>
      </c>
      <c r="BT90" s="149">
        <v>0</v>
      </c>
      <c r="BU90" s="149">
        <v>0</v>
      </c>
      <c r="BV90" s="149">
        <v>0</v>
      </c>
      <c r="BW90" s="149">
        <v>0</v>
      </c>
      <c r="BX90" s="149">
        <v>0</v>
      </c>
      <c r="BY90" s="149">
        <v>0</v>
      </c>
      <c r="BZ90" s="149">
        <v>0</v>
      </c>
    </row>
    <row r="91" spans="1:78">
      <c r="A91" s="149">
        <f t="shared" si="25"/>
        <v>20309</v>
      </c>
      <c r="B91" s="154">
        <f t="shared" si="26"/>
        <v>300014</v>
      </c>
      <c r="C91" s="128" t="e">
        <f>VLOOKUP(B91,Multilingual!A:B,2,FALSE)</f>
        <v>#N/A</v>
      </c>
      <c r="D91" s="154">
        <v>0</v>
      </c>
      <c r="E91" s="154">
        <v>0</v>
      </c>
      <c r="F91" s="154">
        <f t="shared" si="28"/>
        <v>20308</v>
      </c>
      <c r="G91" s="154">
        <v>3</v>
      </c>
      <c r="H91" s="154">
        <v>1</v>
      </c>
      <c r="I91" s="154">
        <v>1</v>
      </c>
      <c r="J91" s="154">
        <v>0</v>
      </c>
      <c r="K91" s="154">
        <v>0</v>
      </c>
      <c r="L91" s="154">
        <v>0</v>
      </c>
      <c r="M91" s="154">
        <v>0</v>
      </c>
      <c r="N91" s="136">
        <v>18000</v>
      </c>
      <c r="O91" s="136">
        <v>35</v>
      </c>
      <c r="P91" s="144" t="s">
        <v>636</v>
      </c>
      <c r="Q91" s="144" t="s">
        <v>637</v>
      </c>
      <c r="R91" s="144" t="s">
        <v>638</v>
      </c>
      <c r="S91" s="154">
        <v>510609</v>
      </c>
      <c r="T91" s="149">
        <v>0</v>
      </c>
      <c r="U91" s="149">
        <v>0</v>
      </c>
      <c r="V91" s="149">
        <v>0</v>
      </c>
      <c r="W91" s="149">
        <v>0</v>
      </c>
      <c r="X91" s="149">
        <v>2</v>
      </c>
      <c r="Y91" s="149">
        <v>0</v>
      </c>
      <c r="Z91" s="149">
        <v>0</v>
      </c>
      <c r="AA91" s="149">
        <v>0</v>
      </c>
      <c r="AB91" s="149">
        <v>0</v>
      </c>
      <c r="AC91" s="149">
        <v>0</v>
      </c>
      <c r="AD91" s="149">
        <v>0</v>
      </c>
      <c r="AE91" s="149">
        <v>0</v>
      </c>
      <c r="AF91" s="149">
        <v>0</v>
      </c>
      <c r="AG91" s="149">
        <v>0</v>
      </c>
      <c r="AH91" s="149">
        <v>0</v>
      </c>
      <c r="AI91" s="149">
        <v>0</v>
      </c>
      <c r="AJ91" s="149">
        <v>0</v>
      </c>
      <c r="AK91" s="149">
        <f t="shared" si="27"/>
        <v>67500</v>
      </c>
      <c r="AL91" s="149">
        <v>0</v>
      </c>
      <c r="AM91" s="149">
        <v>0</v>
      </c>
      <c r="AN91" s="149">
        <v>0</v>
      </c>
      <c r="AO91" s="149">
        <v>0</v>
      </c>
      <c r="AP91" s="149">
        <v>0</v>
      </c>
      <c r="AQ91" s="149">
        <v>0</v>
      </c>
      <c r="AR91" s="149">
        <v>0</v>
      </c>
      <c r="AS91" s="149">
        <v>0</v>
      </c>
      <c r="AT91" s="149">
        <v>0</v>
      </c>
      <c r="AU91" s="149">
        <v>0</v>
      </c>
      <c r="AV91" s="149">
        <v>0</v>
      </c>
      <c r="AW91" s="149">
        <v>0</v>
      </c>
      <c r="AX91" s="149">
        <v>0</v>
      </c>
      <c r="AY91" s="149">
        <v>0</v>
      </c>
      <c r="AZ91" s="149">
        <v>0</v>
      </c>
      <c r="BA91" s="149">
        <v>0</v>
      </c>
      <c r="BB91" s="149">
        <v>0</v>
      </c>
      <c r="BC91" s="149">
        <v>0</v>
      </c>
      <c r="BD91" s="149">
        <v>0</v>
      </c>
      <c r="BE91" s="149">
        <v>0</v>
      </c>
      <c r="BF91" s="149">
        <v>0</v>
      </c>
      <c r="BG91" s="149">
        <v>0</v>
      </c>
      <c r="BH91" s="149">
        <v>0</v>
      </c>
      <c r="BI91" s="149">
        <v>0</v>
      </c>
      <c r="BJ91" s="149">
        <v>0</v>
      </c>
      <c r="BK91" s="149">
        <v>0</v>
      </c>
      <c r="BL91" s="149">
        <v>0</v>
      </c>
      <c r="BM91" s="149">
        <v>0</v>
      </c>
      <c r="BN91" s="149">
        <v>0</v>
      </c>
      <c r="BO91" s="149">
        <v>0</v>
      </c>
      <c r="BP91" s="149">
        <v>0</v>
      </c>
      <c r="BQ91" s="149">
        <v>0</v>
      </c>
      <c r="BR91" s="149">
        <v>0</v>
      </c>
      <c r="BS91" s="149">
        <v>0</v>
      </c>
      <c r="BT91" s="149">
        <v>0</v>
      </c>
      <c r="BU91" s="149">
        <v>0</v>
      </c>
      <c r="BV91" s="149">
        <v>0</v>
      </c>
      <c r="BW91" s="149">
        <v>0</v>
      </c>
      <c r="BX91" s="149">
        <v>0</v>
      </c>
      <c r="BY91" s="149">
        <v>0</v>
      </c>
      <c r="BZ91" s="149">
        <v>0</v>
      </c>
    </row>
    <row r="92" spans="1:78">
      <c r="A92" s="149">
        <f t="shared" si="25"/>
        <v>20310</v>
      </c>
      <c r="B92" s="154">
        <f t="shared" si="26"/>
        <v>300014</v>
      </c>
      <c r="C92" s="128" t="e">
        <f>VLOOKUP(B92,Multilingual!A:B,2,FALSE)</f>
        <v>#N/A</v>
      </c>
      <c r="D92" s="154">
        <v>0</v>
      </c>
      <c r="E92" s="154">
        <v>0</v>
      </c>
      <c r="F92" s="154">
        <f t="shared" si="28"/>
        <v>20309</v>
      </c>
      <c r="G92" s="154">
        <v>3</v>
      </c>
      <c r="H92" s="154">
        <v>1</v>
      </c>
      <c r="I92" s="154">
        <v>1</v>
      </c>
      <c r="J92" s="154">
        <v>0</v>
      </c>
      <c r="K92" s="154">
        <v>0</v>
      </c>
      <c r="L92" s="154">
        <v>0</v>
      </c>
      <c r="M92" s="154">
        <v>0</v>
      </c>
      <c r="N92" s="136">
        <v>18000</v>
      </c>
      <c r="O92" s="136">
        <v>35</v>
      </c>
      <c r="P92" s="144" t="s">
        <v>636</v>
      </c>
      <c r="Q92" s="145" t="s">
        <v>637</v>
      </c>
      <c r="R92" s="144" t="s">
        <v>638</v>
      </c>
      <c r="S92" s="154">
        <v>510610</v>
      </c>
      <c r="T92" s="149">
        <v>0</v>
      </c>
      <c r="U92" s="149">
        <v>0</v>
      </c>
      <c r="V92" s="149">
        <v>0</v>
      </c>
      <c r="W92" s="149">
        <v>0</v>
      </c>
      <c r="X92" s="149">
        <v>2</v>
      </c>
      <c r="Y92" s="149">
        <v>0</v>
      </c>
      <c r="Z92" s="149">
        <v>0</v>
      </c>
      <c r="AA92" s="149">
        <v>0</v>
      </c>
      <c r="AB92" s="149">
        <v>0</v>
      </c>
      <c r="AC92" s="149">
        <v>0</v>
      </c>
      <c r="AD92" s="149">
        <v>0</v>
      </c>
      <c r="AE92" s="149">
        <v>0</v>
      </c>
      <c r="AF92" s="149">
        <v>0</v>
      </c>
      <c r="AG92" s="149">
        <v>0</v>
      </c>
      <c r="AH92" s="149">
        <v>0</v>
      </c>
      <c r="AI92" s="149">
        <v>0</v>
      </c>
      <c r="AJ92" s="149">
        <v>0</v>
      </c>
      <c r="AK92" s="149">
        <f t="shared" si="27"/>
        <v>70000</v>
      </c>
      <c r="AL92" s="149">
        <v>0</v>
      </c>
      <c r="AM92" s="149">
        <v>0</v>
      </c>
      <c r="AN92" s="149">
        <v>0</v>
      </c>
      <c r="AO92" s="149">
        <v>0</v>
      </c>
      <c r="AP92" s="149">
        <v>0</v>
      </c>
      <c r="AQ92" s="149">
        <v>0</v>
      </c>
      <c r="AR92" s="149">
        <v>0</v>
      </c>
      <c r="AS92" s="149">
        <v>0</v>
      </c>
      <c r="AT92" s="149">
        <v>0</v>
      </c>
      <c r="AU92" s="149">
        <v>0</v>
      </c>
      <c r="AV92" s="149">
        <v>0</v>
      </c>
      <c r="AW92" s="149">
        <v>0</v>
      </c>
      <c r="AX92" s="149">
        <v>0</v>
      </c>
      <c r="AY92" s="149">
        <v>0</v>
      </c>
      <c r="AZ92" s="149">
        <v>0</v>
      </c>
      <c r="BA92" s="149">
        <v>0</v>
      </c>
      <c r="BB92" s="149">
        <v>0</v>
      </c>
      <c r="BC92" s="149">
        <v>0</v>
      </c>
      <c r="BD92" s="149">
        <v>0</v>
      </c>
      <c r="BE92" s="149">
        <v>0</v>
      </c>
      <c r="BF92" s="149">
        <v>0</v>
      </c>
      <c r="BG92" s="149">
        <v>0</v>
      </c>
      <c r="BH92" s="149">
        <v>0</v>
      </c>
      <c r="BI92" s="149">
        <v>0</v>
      </c>
      <c r="BJ92" s="149">
        <v>0</v>
      </c>
      <c r="BK92" s="149">
        <v>0</v>
      </c>
      <c r="BL92" s="149">
        <v>0</v>
      </c>
      <c r="BM92" s="149">
        <v>0</v>
      </c>
      <c r="BN92" s="149">
        <v>0</v>
      </c>
      <c r="BO92" s="149">
        <v>0</v>
      </c>
      <c r="BP92" s="149">
        <v>0</v>
      </c>
      <c r="BQ92" s="149">
        <v>0</v>
      </c>
      <c r="BR92" s="149">
        <v>0</v>
      </c>
      <c r="BS92" s="149">
        <v>0</v>
      </c>
      <c r="BT92" s="149">
        <v>0</v>
      </c>
      <c r="BU92" s="149">
        <v>0</v>
      </c>
      <c r="BV92" s="149">
        <v>0</v>
      </c>
      <c r="BW92" s="149">
        <v>0</v>
      </c>
      <c r="BX92" s="149">
        <v>0</v>
      </c>
      <c r="BY92" s="149">
        <v>0</v>
      </c>
      <c r="BZ92" s="149">
        <v>0</v>
      </c>
    </row>
    <row r="93" spans="1:78">
      <c r="A93" s="149">
        <f>A83+100</f>
        <v>20401</v>
      </c>
      <c r="B93" s="154">
        <f>B92+1</f>
        <v>300015</v>
      </c>
      <c r="C93" s="128" t="e">
        <f>VLOOKUP(B93,Multilingual!A:B,2,FALSE)</f>
        <v>#N/A</v>
      </c>
      <c r="D93" s="154">
        <v>0</v>
      </c>
      <c r="E93" s="154">
        <v>0</v>
      </c>
      <c r="F93" s="154">
        <v>0</v>
      </c>
      <c r="G93" s="154">
        <v>3</v>
      </c>
      <c r="H93" s="154">
        <v>1</v>
      </c>
      <c r="I93" s="154">
        <v>1</v>
      </c>
      <c r="J93" s="154">
        <v>0</v>
      </c>
      <c r="K93" s="154">
        <v>0</v>
      </c>
      <c r="L93" s="154">
        <v>0</v>
      </c>
      <c r="M93" s="154">
        <v>0</v>
      </c>
      <c r="N93" s="136">
        <v>7000</v>
      </c>
      <c r="O93" s="136">
        <v>45</v>
      </c>
      <c r="P93" s="136"/>
      <c r="Q93" s="145" t="s">
        <v>639</v>
      </c>
      <c r="R93" s="136"/>
      <c r="S93" s="154">
        <v>510701</v>
      </c>
      <c r="T93" s="149">
        <v>0</v>
      </c>
      <c r="U93" s="149">
        <v>0</v>
      </c>
      <c r="V93" s="149">
        <v>0</v>
      </c>
      <c r="W93" s="149">
        <v>0</v>
      </c>
      <c r="X93" s="149">
        <v>1</v>
      </c>
      <c r="Y93" s="149">
        <v>1500</v>
      </c>
      <c r="Z93" s="149">
        <v>0</v>
      </c>
      <c r="AA93" s="149">
        <v>0</v>
      </c>
      <c r="AB93" s="149">
        <v>0</v>
      </c>
      <c r="AC93" s="149">
        <v>0</v>
      </c>
      <c r="AD93" s="149">
        <v>0</v>
      </c>
      <c r="AE93" s="149">
        <v>0</v>
      </c>
      <c r="AF93" s="149">
        <v>0</v>
      </c>
      <c r="AG93" s="149">
        <v>0</v>
      </c>
      <c r="AH93" s="149">
        <v>0</v>
      </c>
      <c r="AI93" s="149">
        <v>0</v>
      </c>
      <c r="AJ93" s="149">
        <v>0</v>
      </c>
      <c r="AK93" s="149">
        <v>0</v>
      </c>
      <c r="AL93" s="149">
        <v>0</v>
      </c>
      <c r="AM93" s="149">
        <v>0</v>
      </c>
      <c r="AN93" s="149">
        <v>0</v>
      </c>
      <c r="AO93" s="149">
        <v>0</v>
      </c>
      <c r="AP93" s="149">
        <v>0</v>
      </c>
      <c r="AQ93" s="149">
        <v>0</v>
      </c>
      <c r="AR93" s="149">
        <v>0</v>
      </c>
      <c r="AS93" s="149">
        <v>0</v>
      </c>
      <c r="AT93" s="149">
        <v>0</v>
      </c>
      <c r="AU93" s="149">
        <v>0</v>
      </c>
      <c r="AV93" s="149">
        <v>0</v>
      </c>
      <c r="AW93" s="149">
        <v>0</v>
      </c>
      <c r="AX93" s="149">
        <v>0</v>
      </c>
      <c r="AY93" s="149">
        <v>0</v>
      </c>
      <c r="AZ93" s="149">
        <v>0</v>
      </c>
      <c r="BA93" s="149">
        <v>0</v>
      </c>
      <c r="BB93" s="149">
        <v>0</v>
      </c>
      <c r="BC93" s="149">
        <v>0</v>
      </c>
      <c r="BD93" s="149">
        <v>0</v>
      </c>
      <c r="BE93" s="149">
        <v>0</v>
      </c>
      <c r="BF93" s="149">
        <v>0</v>
      </c>
      <c r="BG93" s="149">
        <v>0</v>
      </c>
      <c r="BH93" s="149">
        <v>0</v>
      </c>
      <c r="BI93" s="149">
        <v>0</v>
      </c>
      <c r="BJ93" s="149">
        <v>0</v>
      </c>
      <c r="BK93" s="149">
        <v>0</v>
      </c>
      <c r="BL93" s="149">
        <v>0</v>
      </c>
      <c r="BM93" s="149">
        <v>0</v>
      </c>
      <c r="BN93" s="149">
        <v>0</v>
      </c>
      <c r="BO93" s="149">
        <v>0</v>
      </c>
      <c r="BP93" s="149">
        <v>0</v>
      </c>
      <c r="BQ93" s="149">
        <v>0</v>
      </c>
      <c r="BR93" s="149">
        <v>0</v>
      </c>
      <c r="BS93" s="149">
        <v>0</v>
      </c>
      <c r="BT93" s="149">
        <v>0</v>
      </c>
      <c r="BU93" s="149">
        <v>0</v>
      </c>
      <c r="BV93" s="149">
        <v>0</v>
      </c>
      <c r="BW93" s="149">
        <v>0</v>
      </c>
      <c r="BX93" s="149">
        <v>0</v>
      </c>
      <c r="BY93" s="149">
        <v>0</v>
      </c>
      <c r="BZ93" s="149">
        <v>0</v>
      </c>
    </row>
    <row r="94" spans="1:78">
      <c r="A94" s="149">
        <f>A93+1</f>
        <v>20402</v>
      </c>
      <c r="B94" s="154">
        <f>B93</f>
        <v>300015</v>
      </c>
      <c r="C94" s="128" t="e">
        <f>VLOOKUP(B94,Multilingual!A:B,2,FALSE)</f>
        <v>#N/A</v>
      </c>
      <c r="D94" s="154">
        <v>0</v>
      </c>
      <c r="E94" s="154">
        <v>0</v>
      </c>
      <c r="F94" s="154">
        <f>F84+100</f>
        <v>20401</v>
      </c>
      <c r="G94" s="154">
        <v>3</v>
      </c>
      <c r="H94" s="154">
        <v>1</v>
      </c>
      <c r="I94" s="154">
        <v>1</v>
      </c>
      <c r="J94" s="154">
        <v>0</v>
      </c>
      <c r="K94" s="154">
        <v>0</v>
      </c>
      <c r="L94" s="154">
        <v>0</v>
      </c>
      <c r="M94" s="154">
        <v>0</v>
      </c>
      <c r="N94" s="136">
        <v>7000</v>
      </c>
      <c r="O94" s="136">
        <v>45</v>
      </c>
      <c r="P94" s="136"/>
      <c r="Q94" s="145" t="s">
        <v>639</v>
      </c>
      <c r="R94" s="136"/>
      <c r="S94" s="154">
        <v>510702</v>
      </c>
      <c r="T94" s="149">
        <v>0</v>
      </c>
      <c r="U94" s="149">
        <v>0</v>
      </c>
      <c r="V94" s="149">
        <v>0</v>
      </c>
      <c r="W94" s="149">
        <v>0</v>
      </c>
      <c r="X94" s="149">
        <v>1</v>
      </c>
      <c r="Y94" s="149">
        <f>Y93+500</f>
        <v>2000</v>
      </c>
      <c r="Z94" s="149">
        <v>0</v>
      </c>
      <c r="AA94" s="149">
        <v>0</v>
      </c>
      <c r="AB94" s="149">
        <v>0</v>
      </c>
      <c r="AC94" s="149">
        <v>0</v>
      </c>
      <c r="AD94" s="149">
        <v>0</v>
      </c>
      <c r="AE94" s="149">
        <v>0</v>
      </c>
      <c r="AF94" s="149">
        <v>0</v>
      </c>
      <c r="AG94" s="149">
        <v>0</v>
      </c>
      <c r="AH94" s="149">
        <v>0</v>
      </c>
      <c r="AI94" s="149">
        <v>0</v>
      </c>
      <c r="AJ94" s="149">
        <v>0</v>
      </c>
      <c r="AK94" s="149">
        <v>0</v>
      </c>
      <c r="AL94" s="149">
        <v>0</v>
      </c>
      <c r="AM94" s="149">
        <v>0</v>
      </c>
      <c r="AN94" s="149">
        <v>0</v>
      </c>
      <c r="AO94" s="149">
        <v>0</v>
      </c>
      <c r="AP94" s="149">
        <v>0</v>
      </c>
      <c r="AQ94" s="149">
        <v>0</v>
      </c>
      <c r="AR94" s="149">
        <v>0</v>
      </c>
      <c r="AS94" s="149">
        <v>0</v>
      </c>
      <c r="AT94" s="149">
        <v>0</v>
      </c>
      <c r="AU94" s="149">
        <v>0</v>
      </c>
      <c r="AV94" s="149">
        <v>0</v>
      </c>
      <c r="AW94" s="149">
        <v>0</v>
      </c>
      <c r="AX94" s="149">
        <v>0</v>
      </c>
      <c r="AY94" s="149">
        <v>0</v>
      </c>
      <c r="AZ94" s="149">
        <v>0</v>
      </c>
      <c r="BA94" s="149">
        <v>0</v>
      </c>
      <c r="BB94" s="149">
        <v>0</v>
      </c>
      <c r="BC94" s="149">
        <v>0</v>
      </c>
      <c r="BD94" s="149">
        <v>0</v>
      </c>
      <c r="BE94" s="149">
        <v>0</v>
      </c>
      <c r="BF94" s="149">
        <v>0</v>
      </c>
      <c r="BG94" s="149">
        <v>0</v>
      </c>
      <c r="BH94" s="149">
        <v>0</v>
      </c>
      <c r="BI94" s="149">
        <v>0</v>
      </c>
      <c r="BJ94" s="149">
        <v>0</v>
      </c>
      <c r="BK94" s="149">
        <v>0</v>
      </c>
      <c r="BL94" s="149">
        <v>0</v>
      </c>
      <c r="BM94" s="149">
        <v>0</v>
      </c>
      <c r="BN94" s="149">
        <v>0</v>
      </c>
      <c r="BO94" s="149">
        <v>0</v>
      </c>
      <c r="BP94" s="149">
        <v>0</v>
      </c>
      <c r="BQ94" s="149">
        <v>0</v>
      </c>
      <c r="BR94" s="149">
        <v>0</v>
      </c>
      <c r="BS94" s="149">
        <v>0</v>
      </c>
      <c r="BT94" s="149">
        <v>0</v>
      </c>
      <c r="BU94" s="149">
        <v>0</v>
      </c>
      <c r="BV94" s="149">
        <v>0</v>
      </c>
      <c r="BW94" s="149">
        <v>0</v>
      </c>
      <c r="BX94" s="149">
        <v>0</v>
      </c>
      <c r="BY94" s="149">
        <v>0</v>
      </c>
      <c r="BZ94" s="149">
        <v>0</v>
      </c>
    </row>
    <row r="95" spans="1:78">
      <c r="A95" s="149">
        <f t="shared" ref="A95:A102" si="29">A94+1</f>
        <v>20403</v>
      </c>
      <c r="B95" s="154">
        <f t="shared" ref="B95:B102" si="30">B94</f>
        <v>300015</v>
      </c>
      <c r="C95" s="128" t="e">
        <f>VLOOKUP(B95,Multilingual!A:B,2,FALSE)</f>
        <v>#N/A</v>
      </c>
      <c r="D95" s="154">
        <v>0</v>
      </c>
      <c r="E95" s="154">
        <v>0</v>
      </c>
      <c r="F95" s="154">
        <f>F94+1</f>
        <v>20402</v>
      </c>
      <c r="G95" s="154">
        <v>3</v>
      </c>
      <c r="H95" s="154">
        <v>1</v>
      </c>
      <c r="I95" s="154">
        <v>1</v>
      </c>
      <c r="J95" s="154">
        <v>0</v>
      </c>
      <c r="K95" s="154">
        <v>0</v>
      </c>
      <c r="L95" s="154">
        <v>0</v>
      </c>
      <c r="M95" s="154">
        <v>0</v>
      </c>
      <c r="N95" s="136">
        <v>7000</v>
      </c>
      <c r="O95" s="136">
        <v>45</v>
      </c>
      <c r="P95" s="136"/>
      <c r="Q95" s="145" t="s">
        <v>639</v>
      </c>
      <c r="R95" s="136"/>
      <c r="S95" s="154">
        <v>510703</v>
      </c>
      <c r="T95" s="149">
        <v>0</v>
      </c>
      <c r="U95" s="149">
        <v>0</v>
      </c>
      <c r="V95" s="149">
        <v>0</v>
      </c>
      <c r="W95" s="149">
        <v>0</v>
      </c>
      <c r="X95" s="149">
        <v>1</v>
      </c>
      <c r="Y95" s="149">
        <f t="shared" ref="Y95:Y102" si="31">Y94+500</f>
        <v>2500</v>
      </c>
      <c r="Z95" s="149">
        <v>0</v>
      </c>
      <c r="AA95" s="149">
        <v>0</v>
      </c>
      <c r="AB95" s="149">
        <v>0</v>
      </c>
      <c r="AC95" s="149">
        <v>0</v>
      </c>
      <c r="AD95" s="149">
        <v>0</v>
      </c>
      <c r="AE95" s="149">
        <v>0</v>
      </c>
      <c r="AF95" s="149">
        <v>0</v>
      </c>
      <c r="AG95" s="149">
        <v>0</v>
      </c>
      <c r="AH95" s="149">
        <v>0</v>
      </c>
      <c r="AI95" s="149">
        <v>0</v>
      </c>
      <c r="AJ95" s="149">
        <v>0</v>
      </c>
      <c r="AK95" s="149">
        <v>0</v>
      </c>
      <c r="AL95" s="149">
        <v>0</v>
      </c>
      <c r="AM95" s="149">
        <v>0</v>
      </c>
      <c r="AN95" s="149">
        <v>0</v>
      </c>
      <c r="AO95" s="149">
        <v>0</v>
      </c>
      <c r="AP95" s="149">
        <v>0</v>
      </c>
      <c r="AQ95" s="149">
        <v>0</v>
      </c>
      <c r="AR95" s="149">
        <v>0</v>
      </c>
      <c r="AS95" s="149">
        <v>0</v>
      </c>
      <c r="AT95" s="149">
        <v>0</v>
      </c>
      <c r="AU95" s="149">
        <v>0</v>
      </c>
      <c r="AV95" s="149">
        <v>0</v>
      </c>
      <c r="AW95" s="149">
        <v>0</v>
      </c>
      <c r="AX95" s="149">
        <v>0</v>
      </c>
      <c r="AY95" s="149">
        <v>0</v>
      </c>
      <c r="AZ95" s="149">
        <v>0</v>
      </c>
      <c r="BA95" s="149">
        <v>0</v>
      </c>
      <c r="BB95" s="149">
        <v>0</v>
      </c>
      <c r="BC95" s="149">
        <v>0</v>
      </c>
      <c r="BD95" s="149">
        <v>0</v>
      </c>
      <c r="BE95" s="149">
        <v>0</v>
      </c>
      <c r="BF95" s="149">
        <v>0</v>
      </c>
      <c r="BG95" s="149">
        <v>0</v>
      </c>
      <c r="BH95" s="149">
        <v>0</v>
      </c>
      <c r="BI95" s="149">
        <v>0</v>
      </c>
      <c r="BJ95" s="149">
        <v>0</v>
      </c>
      <c r="BK95" s="149">
        <v>0</v>
      </c>
      <c r="BL95" s="149">
        <v>0</v>
      </c>
      <c r="BM95" s="149">
        <v>0</v>
      </c>
      <c r="BN95" s="149">
        <v>0</v>
      </c>
      <c r="BO95" s="149">
        <v>0</v>
      </c>
      <c r="BP95" s="149">
        <v>0</v>
      </c>
      <c r="BQ95" s="149">
        <v>0</v>
      </c>
      <c r="BR95" s="149">
        <v>0</v>
      </c>
      <c r="BS95" s="149">
        <v>0</v>
      </c>
      <c r="BT95" s="149">
        <v>0</v>
      </c>
      <c r="BU95" s="149">
        <v>0</v>
      </c>
      <c r="BV95" s="149">
        <v>0</v>
      </c>
      <c r="BW95" s="149">
        <v>0</v>
      </c>
      <c r="BX95" s="149">
        <v>0</v>
      </c>
      <c r="BY95" s="149">
        <v>0</v>
      </c>
      <c r="BZ95" s="149">
        <v>0</v>
      </c>
    </row>
    <row r="96" spans="1:78">
      <c r="A96" s="149">
        <f t="shared" si="29"/>
        <v>20404</v>
      </c>
      <c r="B96" s="154">
        <f t="shared" si="30"/>
        <v>300015</v>
      </c>
      <c r="C96" s="128" t="e">
        <f>VLOOKUP(B96,Multilingual!A:B,2,FALSE)</f>
        <v>#N/A</v>
      </c>
      <c r="D96" s="154">
        <v>0</v>
      </c>
      <c r="E96" s="154">
        <v>0</v>
      </c>
      <c r="F96" s="154">
        <f t="shared" ref="F96:F102" si="32">F95+1</f>
        <v>20403</v>
      </c>
      <c r="G96" s="154">
        <v>3</v>
      </c>
      <c r="H96" s="154">
        <v>1</v>
      </c>
      <c r="I96" s="154">
        <v>1</v>
      </c>
      <c r="J96" s="154">
        <v>0</v>
      </c>
      <c r="K96" s="154">
        <v>0</v>
      </c>
      <c r="L96" s="154">
        <v>0</v>
      </c>
      <c r="M96" s="154">
        <v>0</v>
      </c>
      <c r="N96" s="136">
        <v>7000</v>
      </c>
      <c r="O96" s="136">
        <v>45</v>
      </c>
      <c r="P96" s="136"/>
      <c r="Q96" s="145" t="s">
        <v>639</v>
      </c>
      <c r="R96" s="136"/>
      <c r="S96" s="154">
        <v>510704</v>
      </c>
      <c r="T96" s="149">
        <v>0</v>
      </c>
      <c r="U96" s="149">
        <v>0</v>
      </c>
      <c r="V96" s="149">
        <v>0</v>
      </c>
      <c r="W96" s="149">
        <v>0</v>
      </c>
      <c r="X96" s="149">
        <v>1</v>
      </c>
      <c r="Y96" s="149">
        <f t="shared" si="31"/>
        <v>3000</v>
      </c>
      <c r="Z96" s="149">
        <v>0</v>
      </c>
      <c r="AA96" s="149">
        <v>0</v>
      </c>
      <c r="AB96" s="149">
        <v>0</v>
      </c>
      <c r="AC96" s="149">
        <v>0</v>
      </c>
      <c r="AD96" s="149">
        <v>0</v>
      </c>
      <c r="AE96" s="149">
        <v>0</v>
      </c>
      <c r="AF96" s="149">
        <v>0</v>
      </c>
      <c r="AG96" s="149">
        <v>0</v>
      </c>
      <c r="AH96" s="149">
        <v>0</v>
      </c>
      <c r="AI96" s="149">
        <v>0</v>
      </c>
      <c r="AJ96" s="149">
        <v>0</v>
      </c>
      <c r="AK96" s="149">
        <v>0</v>
      </c>
      <c r="AL96" s="149">
        <v>0</v>
      </c>
      <c r="AM96" s="149">
        <v>0</v>
      </c>
      <c r="AN96" s="149">
        <v>0</v>
      </c>
      <c r="AO96" s="149">
        <v>0</v>
      </c>
      <c r="AP96" s="149">
        <v>0</v>
      </c>
      <c r="AQ96" s="149">
        <v>0</v>
      </c>
      <c r="AR96" s="149">
        <v>0</v>
      </c>
      <c r="AS96" s="149">
        <v>0</v>
      </c>
      <c r="AT96" s="149">
        <v>0</v>
      </c>
      <c r="AU96" s="149">
        <v>0</v>
      </c>
      <c r="AV96" s="149">
        <v>0</v>
      </c>
      <c r="AW96" s="149">
        <v>0</v>
      </c>
      <c r="AX96" s="149">
        <v>0</v>
      </c>
      <c r="AY96" s="149">
        <v>0</v>
      </c>
      <c r="AZ96" s="149">
        <v>0</v>
      </c>
      <c r="BA96" s="149">
        <v>0</v>
      </c>
      <c r="BB96" s="149">
        <v>0</v>
      </c>
      <c r="BC96" s="149">
        <v>0</v>
      </c>
      <c r="BD96" s="149">
        <v>0</v>
      </c>
      <c r="BE96" s="149">
        <v>0</v>
      </c>
      <c r="BF96" s="149">
        <v>0</v>
      </c>
      <c r="BG96" s="149">
        <v>0</v>
      </c>
      <c r="BH96" s="149">
        <v>0</v>
      </c>
      <c r="BI96" s="149">
        <v>0</v>
      </c>
      <c r="BJ96" s="149">
        <v>0</v>
      </c>
      <c r="BK96" s="149">
        <v>0</v>
      </c>
      <c r="BL96" s="149">
        <v>0</v>
      </c>
      <c r="BM96" s="149">
        <v>0</v>
      </c>
      <c r="BN96" s="149">
        <v>0</v>
      </c>
      <c r="BO96" s="149">
        <v>0</v>
      </c>
      <c r="BP96" s="149">
        <v>0</v>
      </c>
      <c r="BQ96" s="149">
        <v>0</v>
      </c>
      <c r="BR96" s="149">
        <v>0</v>
      </c>
      <c r="BS96" s="149">
        <v>0</v>
      </c>
      <c r="BT96" s="149">
        <v>0</v>
      </c>
      <c r="BU96" s="149">
        <v>0</v>
      </c>
      <c r="BV96" s="149">
        <v>0</v>
      </c>
      <c r="BW96" s="149">
        <v>0</v>
      </c>
      <c r="BX96" s="149">
        <v>0</v>
      </c>
      <c r="BY96" s="149">
        <v>0</v>
      </c>
      <c r="BZ96" s="149">
        <v>0</v>
      </c>
    </row>
    <row r="97" spans="1:78">
      <c r="A97" s="149">
        <f t="shared" si="29"/>
        <v>20405</v>
      </c>
      <c r="B97" s="154">
        <f t="shared" si="30"/>
        <v>300015</v>
      </c>
      <c r="C97" s="128" t="e">
        <f>VLOOKUP(B97,Multilingual!A:B,2,FALSE)</f>
        <v>#N/A</v>
      </c>
      <c r="D97" s="154">
        <v>0</v>
      </c>
      <c r="E97" s="154">
        <v>0</v>
      </c>
      <c r="F97" s="154">
        <f t="shared" si="32"/>
        <v>20404</v>
      </c>
      <c r="G97" s="154">
        <v>3</v>
      </c>
      <c r="H97" s="154">
        <v>1</v>
      </c>
      <c r="I97" s="154">
        <v>1</v>
      </c>
      <c r="J97" s="154">
        <v>0</v>
      </c>
      <c r="K97" s="154">
        <v>0</v>
      </c>
      <c r="L97" s="154">
        <v>0</v>
      </c>
      <c r="M97" s="154">
        <v>0</v>
      </c>
      <c r="N97" s="136">
        <v>7000</v>
      </c>
      <c r="O97" s="136">
        <v>45</v>
      </c>
      <c r="P97" s="136"/>
      <c r="Q97" s="145" t="s">
        <v>639</v>
      </c>
      <c r="R97" s="136"/>
      <c r="S97" s="154">
        <v>510705</v>
      </c>
      <c r="T97" s="149">
        <v>0</v>
      </c>
      <c r="U97" s="149">
        <v>0</v>
      </c>
      <c r="V97" s="149">
        <v>0</v>
      </c>
      <c r="W97" s="149">
        <v>0</v>
      </c>
      <c r="X97" s="149">
        <v>1</v>
      </c>
      <c r="Y97" s="149">
        <f t="shared" si="31"/>
        <v>3500</v>
      </c>
      <c r="Z97" s="149">
        <v>0</v>
      </c>
      <c r="AA97" s="149">
        <v>0</v>
      </c>
      <c r="AB97" s="149">
        <v>0</v>
      </c>
      <c r="AC97" s="149">
        <v>0</v>
      </c>
      <c r="AD97" s="149">
        <v>0</v>
      </c>
      <c r="AE97" s="149">
        <v>0</v>
      </c>
      <c r="AF97" s="149">
        <v>0</v>
      </c>
      <c r="AG97" s="149">
        <v>0</v>
      </c>
      <c r="AH97" s="149">
        <v>0</v>
      </c>
      <c r="AI97" s="149">
        <v>0</v>
      </c>
      <c r="AJ97" s="149">
        <v>0</v>
      </c>
      <c r="AK97" s="149">
        <v>0</v>
      </c>
      <c r="AL97" s="149">
        <v>0</v>
      </c>
      <c r="AM97" s="149">
        <v>0</v>
      </c>
      <c r="AN97" s="149">
        <v>0</v>
      </c>
      <c r="AO97" s="149">
        <v>0</v>
      </c>
      <c r="AP97" s="149">
        <v>0</v>
      </c>
      <c r="AQ97" s="149">
        <v>0</v>
      </c>
      <c r="AR97" s="149">
        <v>0</v>
      </c>
      <c r="AS97" s="149">
        <v>0</v>
      </c>
      <c r="AT97" s="149">
        <v>0</v>
      </c>
      <c r="AU97" s="149">
        <v>0</v>
      </c>
      <c r="AV97" s="149">
        <v>0</v>
      </c>
      <c r="AW97" s="149">
        <v>0</v>
      </c>
      <c r="AX97" s="149">
        <v>0</v>
      </c>
      <c r="AY97" s="149">
        <v>0</v>
      </c>
      <c r="AZ97" s="149">
        <v>0</v>
      </c>
      <c r="BA97" s="149">
        <v>0</v>
      </c>
      <c r="BB97" s="149">
        <v>0</v>
      </c>
      <c r="BC97" s="149">
        <v>0</v>
      </c>
      <c r="BD97" s="149">
        <v>0</v>
      </c>
      <c r="BE97" s="149">
        <v>0</v>
      </c>
      <c r="BF97" s="149">
        <v>0</v>
      </c>
      <c r="BG97" s="149">
        <v>0</v>
      </c>
      <c r="BH97" s="149">
        <v>0</v>
      </c>
      <c r="BI97" s="149">
        <v>0</v>
      </c>
      <c r="BJ97" s="149">
        <v>0</v>
      </c>
      <c r="BK97" s="149">
        <v>0</v>
      </c>
      <c r="BL97" s="149">
        <v>0</v>
      </c>
      <c r="BM97" s="149">
        <v>0</v>
      </c>
      <c r="BN97" s="149">
        <v>0</v>
      </c>
      <c r="BO97" s="149">
        <v>0</v>
      </c>
      <c r="BP97" s="149">
        <v>0</v>
      </c>
      <c r="BQ97" s="149">
        <v>0</v>
      </c>
      <c r="BR97" s="149">
        <v>0</v>
      </c>
      <c r="BS97" s="149">
        <v>0</v>
      </c>
      <c r="BT97" s="149">
        <v>0</v>
      </c>
      <c r="BU97" s="149">
        <v>0</v>
      </c>
      <c r="BV97" s="149">
        <v>0</v>
      </c>
      <c r="BW97" s="149">
        <v>0</v>
      </c>
      <c r="BX97" s="149">
        <v>0</v>
      </c>
      <c r="BY97" s="149">
        <v>0</v>
      </c>
      <c r="BZ97" s="149">
        <v>0</v>
      </c>
    </row>
    <row r="98" spans="1:78">
      <c r="A98" s="149">
        <f t="shared" si="29"/>
        <v>20406</v>
      </c>
      <c r="B98" s="154">
        <f t="shared" si="30"/>
        <v>300015</v>
      </c>
      <c r="C98" s="128" t="e">
        <f>VLOOKUP(B98,Multilingual!A:B,2,FALSE)</f>
        <v>#N/A</v>
      </c>
      <c r="D98" s="154">
        <v>0</v>
      </c>
      <c r="E98" s="154">
        <v>0</v>
      </c>
      <c r="F98" s="154">
        <f t="shared" si="32"/>
        <v>20405</v>
      </c>
      <c r="G98" s="154">
        <v>3</v>
      </c>
      <c r="H98" s="154">
        <v>1</v>
      </c>
      <c r="I98" s="154">
        <v>1</v>
      </c>
      <c r="J98" s="154">
        <v>0</v>
      </c>
      <c r="K98" s="154">
        <v>0</v>
      </c>
      <c r="L98" s="154">
        <v>0</v>
      </c>
      <c r="M98" s="154">
        <v>0</v>
      </c>
      <c r="N98" s="136">
        <v>7000</v>
      </c>
      <c r="O98" s="136">
        <v>45</v>
      </c>
      <c r="P98" s="136"/>
      <c r="Q98" s="145" t="s">
        <v>639</v>
      </c>
      <c r="R98" s="136"/>
      <c r="S98" s="154">
        <v>510706</v>
      </c>
      <c r="T98" s="149">
        <v>0</v>
      </c>
      <c r="U98" s="149">
        <v>0</v>
      </c>
      <c r="V98" s="149">
        <v>0</v>
      </c>
      <c r="W98" s="149">
        <v>0</v>
      </c>
      <c r="X98" s="149">
        <v>1</v>
      </c>
      <c r="Y98" s="149">
        <f t="shared" si="31"/>
        <v>4000</v>
      </c>
      <c r="Z98" s="149">
        <v>0</v>
      </c>
      <c r="AA98" s="149">
        <v>0</v>
      </c>
      <c r="AB98" s="149">
        <v>0</v>
      </c>
      <c r="AC98" s="149">
        <v>0</v>
      </c>
      <c r="AD98" s="149">
        <v>0</v>
      </c>
      <c r="AE98" s="149">
        <v>0</v>
      </c>
      <c r="AF98" s="149">
        <v>0</v>
      </c>
      <c r="AG98" s="149">
        <v>0</v>
      </c>
      <c r="AH98" s="149">
        <v>0</v>
      </c>
      <c r="AI98" s="149">
        <v>0</v>
      </c>
      <c r="AJ98" s="149">
        <v>0</v>
      </c>
      <c r="AK98" s="149">
        <v>0</v>
      </c>
      <c r="AL98" s="149">
        <v>0</v>
      </c>
      <c r="AM98" s="149">
        <v>0</v>
      </c>
      <c r="AN98" s="149">
        <v>0</v>
      </c>
      <c r="AO98" s="149">
        <v>0</v>
      </c>
      <c r="AP98" s="149">
        <v>0</v>
      </c>
      <c r="AQ98" s="149">
        <v>0</v>
      </c>
      <c r="AR98" s="149">
        <v>0</v>
      </c>
      <c r="AS98" s="149">
        <v>0</v>
      </c>
      <c r="AT98" s="149">
        <v>0</v>
      </c>
      <c r="AU98" s="149">
        <v>0</v>
      </c>
      <c r="AV98" s="149">
        <v>0</v>
      </c>
      <c r="AW98" s="149">
        <v>0</v>
      </c>
      <c r="AX98" s="149">
        <v>0</v>
      </c>
      <c r="AY98" s="149">
        <v>0</v>
      </c>
      <c r="AZ98" s="149">
        <v>0</v>
      </c>
      <c r="BA98" s="149">
        <v>0</v>
      </c>
      <c r="BB98" s="149">
        <v>0</v>
      </c>
      <c r="BC98" s="149">
        <v>0</v>
      </c>
      <c r="BD98" s="149">
        <v>0</v>
      </c>
      <c r="BE98" s="149">
        <v>0</v>
      </c>
      <c r="BF98" s="149">
        <v>0</v>
      </c>
      <c r="BG98" s="149">
        <v>0</v>
      </c>
      <c r="BH98" s="149">
        <v>0</v>
      </c>
      <c r="BI98" s="149">
        <v>0</v>
      </c>
      <c r="BJ98" s="149">
        <v>0</v>
      </c>
      <c r="BK98" s="149">
        <v>0</v>
      </c>
      <c r="BL98" s="149">
        <v>0</v>
      </c>
      <c r="BM98" s="149">
        <v>0</v>
      </c>
      <c r="BN98" s="149">
        <v>0</v>
      </c>
      <c r="BO98" s="149">
        <v>0</v>
      </c>
      <c r="BP98" s="149">
        <v>0</v>
      </c>
      <c r="BQ98" s="149">
        <v>0</v>
      </c>
      <c r="BR98" s="149">
        <v>0</v>
      </c>
      <c r="BS98" s="149">
        <v>0</v>
      </c>
      <c r="BT98" s="149">
        <v>0</v>
      </c>
      <c r="BU98" s="149">
        <v>0</v>
      </c>
      <c r="BV98" s="149">
        <v>0</v>
      </c>
      <c r="BW98" s="149">
        <v>0</v>
      </c>
      <c r="BX98" s="149">
        <v>0</v>
      </c>
      <c r="BY98" s="149">
        <v>0</v>
      </c>
      <c r="BZ98" s="149">
        <v>0</v>
      </c>
    </row>
    <row r="99" spans="1:78">
      <c r="A99" s="149">
        <f t="shared" si="29"/>
        <v>20407</v>
      </c>
      <c r="B99" s="154">
        <f t="shared" si="30"/>
        <v>300015</v>
      </c>
      <c r="C99" s="128" t="e">
        <f>VLOOKUP(B99,Multilingual!A:B,2,FALSE)</f>
        <v>#N/A</v>
      </c>
      <c r="D99" s="154">
        <v>0</v>
      </c>
      <c r="E99" s="154">
        <v>0</v>
      </c>
      <c r="F99" s="154">
        <f t="shared" si="32"/>
        <v>20406</v>
      </c>
      <c r="G99" s="154">
        <v>3</v>
      </c>
      <c r="H99" s="154">
        <v>1</v>
      </c>
      <c r="I99" s="154">
        <v>1</v>
      </c>
      <c r="J99" s="154">
        <v>0</v>
      </c>
      <c r="K99" s="154">
        <v>0</v>
      </c>
      <c r="L99" s="154">
        <v>0</v>
      </c>
      <c r="M99" s="154">
        <v>0</v>
      </c>
      <c r="N99" s="136">
        <v>7000</v>
      </c>
      <c r="O99" s="136">
        <v>45</v>
      </c>
      <c r="P99" s="136"/>
      <c r="Q99" s="145" t="s">
        <v>639</v>
      </c>
      <c r="R99" s="136"/>
      <c r="S99" s="154">
        <v>510707</v>
      </c>
      <c r="T99" s="149">
        <v>0</v>
      </c>
      <c r="U99" s="149">
        <v>0</v>
      </c>
      <c r="V99" s="149">
        <v>0</v>
      </c>
      <c r="W99" s="149">
        <v>0</v>
      </c>
      <c r="X99" s="149">
        <v>1</v>
      </c>
      <c r="Y99" s="149">
        <f t="shared" si="31"/>
        <v>4500</v>
      </c>
      <c r="Z99" s="149">
        <v>0</v>
      </c>
      <c r="AA99" s="149">
        <v>0</v>
      </c>
      <c r="AB99" s="149">
        <v>0</v>
      </c>
      <c r="AC99" s="149">
        <v>0</v>
      </c>
      <c r="AD99" s="149">
        <v>0</v>
      </c>
      <c r="AE99" s="149">
        <v>0</v>
      </c>
      <c r="AF99" s="149">
        <v>0</v>
      </c>
      <c r="AG99" s="149">
        <v>0</v>
      </c>
      <c r="AH99" s="149">
        <v>0</v>
      </c>
      <c r="AI99" s="149">
        <v>0</v>
      </c>
      <c r="AJ99" s="149">
        <v>0</v>
      </c>
      <c r="AK99" s="149">
        <v>0</v>
      </c>
      <c r="AL99" s="149">
        <v>0</v>
      </c>
      <c r="AM99" s="149">
        <v>0</v>
      </c>
      <c r="AN99" s="149">
        <v>0</v>
      </c>
      <c r="AO99" s="149">
        <v>0</v>
      </c>
      <c r="AP99" s="149">
        <v>0</v>
      </c>
      <c r="AQ99" s="149">
        <v>0</v>
      </c>
      <c r="AR99" s="149">
        <v>0</v>
      </c>
      <c r="AS99" s="149">
        <v>0</v>
      </c>
      <c r="AT99" s="149">
        <v>0</v>
      </c>
      <c r="AU99" s="149">
        <v>0</v>
      </c>
      <c r="AV99" s="149">
        <v>0</v>
      </c>
      <c r="AW99" s="149">
        <v>0</v>
      </c>
      <c r="AX99" s="149">
        <v>0</v>
      </c>
      <c r="AY99" s="149">
        <v>0</v>
      </c>
      <c r="AZ99" s="149">
        <v>0</v>
      </c>
      <c r="BA99" s="149">
        <v>0</v>
      </c>
      <c r="BB99" s="149">
        <v>0</v>
      </c>
      <c r="BC99" s="149">
        <v>0</v>
      </c>
      <c r="BD99" s="149">
        <v>0</v>
      </c>
      <c r="BE99" s="149">
        <v>0</v>
      </c>
      <c r="BF99" s="149">
        <v>0</v>
      </c>
      <c r="BG99" s="149">
        <v>0</v>
      </c>
      <c r="BH99" s="149">
        <v>0</v>
      </c>
      <c r="BI99" s="149">
        <v>0</v>
      </c>
      <c r="BJ99" s="149">
        <v>0</v>
      </c>
      <c r="BK99" s="149">
        <v>0</v>
      </c>
      <c r="BL99" s="149">
        <v>0</v>
      </c>
      <c r="BM99" s="149">
        <v>0</v>
      </c>
      <c r="BN99" s="149">
        <v>0</v>
      </c>
      <c r="BO99" s="149">
        <v>0</v>
      </c>
      <c r="BP99" s="149">
        <v>0</v>
      </c>
      <c r="BQ99" s="149">
        <v>0</v>
      </c>
      <c r="BR99" s="149">
        <v>0</v>
      </c>
      <c r="BS99" s="149">
        <v>0</v>
      </c>
      <c r="BT99" s="149">
        <v>0</v>
      </c>
      <c r="BU99" s="149">
        <v>0</v>
      </c>
      <c r="BV99" s="149">
        <v>0</v>
      </c>
      <c r="BW99" s="149">
        <v>0</v>
      </c>
      <c r="BX99" s="149">
        <v>0</v>
      </c>
      <c r="BY99" s="149">
        <v>0</v>
      </c>
      <c r="BZ99" s="149">
        <v>0</v>
      </c>
    </row>
    <row r="100" spans="1:78">
      <c r="A100" s="149">
        <f t="shared" si="29"/>
        <v>20408</v>
      </c>
      <c r="B100" s="154">
        <f t="shared" si="30"/>
        <v>300015</v>
      </c>
      <c r="C100" s="128" t="e">
        <f>VLOOKUP(B100,Multilingual!A:B,2,FALSE)</f>
        <v>#N/A</v>
      </c>
      <c r="D100" s="154">
        <v>0</v>
      </c>
      <c r="E100" s="154">
        <v>0</v>
      </c>
      <c r="F100" s="154">
        <f t="shared" si="32"/>
        <v>20407</v>
      </c>
      <c r="G100" s="154">
        <v>3</v>
      </c>
      <c r="H100" s="154">
        <v>1</v>
      </c>
      <c r="I100" s="154">
        <v>1</v>
      </c>
      <c r="J100" s="154">
        <v>0</v>
      </c>
      <c r="K100" s="154">
        <v>0</v>
      </c>
      <c r="L100" s="154">
        <v>0</v>
      </c>
      <c r="M100" s="154">
        <v>0</v>
      </c>
      <c r="N100" s="136">
        <v>7000</v>
      </c>
      <c r="O100" s="136">
        <v>45</v>
      </c>
      <c r="P100" s="136"/>
      <c r="Q100" s="145" t="s">
        <v>639</v>
      </c>
      <c r="R100" s="136"/>
      <c r="S100" s="154">
        <v>510708</v>
      </c>
      <c r="T100" s="149">
        <v>0</v>
      </c>
      <c r="U100" s="149">
        <v>0</v>
      </c>
      <c r="V100" s="149">
        <v>0</v>
      </c>
      <c r="W100" s="149">
        <v>0</v>
      </c>
      <c r="X100" s="149">
        <v>1</v>
      </c>
      <c r="Y100" s="149">
        <f t="shared" si="31"/>
        <v>5000</v>
      </c>
      <c r="Z100" s="149">
        <v>0</v>
      </c>
      <c r="AA100" s="149">
        <v>0</v>
      </c>
      <c r="AB100" s="149">
        <v>0</v>
      </c>
      <c r="AC100" s="149">
        <v>0</v>
      </c>
      <c r="AD100" s="149">
        <v>0</v>
      </c>
      <c r="AE100" s="149">
        <v>0</v>
      </c>
      <c r="AF100" s="149">
        <v>0</v>
      </c>
      <c r="AG100" s="149">
        <v>0</v>
      </c>
      <c r="AH100" s="149">
        <v>0</v>
      </c>
      <c r="AI100" s="149">
        <v>0</v>
      </c>
      <c r="AJ100" s="149">
        <v>0</v>
      </c>
      <c r="AK100" s="149">
        <v>0</v>
      </c>
      <c r="AL100" s="149">
        <v>0</v>
      </c>
      <c r="AM100" s="149">
        <v>0</v>
      </c>
      <c r="AN100" s="149">
        <v>0</v>
      </c>
      <c r="AO100" s="149">
        <v>0</v>
      </c>
      <c r="AP100" s="149">
        <v>0</v>
      </c>
      <c r="AQ100" s="149">
        <v>0</v>
      </c>
      <c r="AR100" s="149">
        <v>0</v>
      </c>
      <c r="AS100" s="149">
        <v>0</v>
      </c>
      <c r="AT100" s="149">
        <v>0</v>
      </c>
      <c r="AU100" s="149">
        <v>0</v>
      </c>
      <c r="AV100" s="149">
        <v>0</v>
      </c>
      <c r="AW100" s="149">
        <v>0</v>
      </c>
      <c r="AX100" s="149">
        <v>0</v>
      </c>
      <c r="AY100" s="149">
        <v>0</v>
      </c>
      <c r="AZ100" s="149">
        <v>0</v>
      </c>
      <c r="BA100" s="149">
        <v>0</v>
      </c>
      <c r="BB100" s="149">
        <v>0</v>
      </c>
      <c r="BC100" s="149">
        <v>0</v>
      </c>
      <c r="BD100" s="149">
        <v>0</v>
      </c>
      <c r="BE100" s="149">
        <v>0</v>
      </c>
      <c r="BF100" s="149">
        <v>0</v>
      </c>
      <c r="BG100" s="149">
        <v>0</v>
      </c>
      <c r="BH100" s="149">
        <v>0</v>
      </c>
      <c r="BI100" s="149">
        <v>0</v>
      </c>
      <c r="BJ100" s="149">
        <v>0</v>
      </c>
      <c r="BK100" s="149">
        <v>0</v>
      </c>
      <c r="BL100" s="149">
        <v>0</v>
      </c>
      <c r="BM100" s="149">
        <v>0</v>
      </c>
      <c r="BN100" s="149">
        <v>0</v>
      </c>
      <c r="BO100" s="149">
        <v>0</v>
      </c>
      <c r="BP100" s="149">
        <v>0</v>
      </c>
      <c r="BQ100" s="149">
        <v>0</v>
      </c>
      <c r="BR100" s="149">
        <v>0</v>
      </c>
      <c r="BS100" s="149">
        <v>0</v>
      </c>
      <c r="BT100" s="149">
        <v>0</v>
      </c>
      <c r="BU100" s="149">
        <v>0</v>
      </c>
      <c r="BV100" s="149">
        <v>0</v>
      </c>
      <c r="BW100" s="149">
        <v>0</v>
      </c>
      <c r="BX100" s="149">
        <v>0</v>
      </c>
      <c r="BY100" s="149">
        <v>0</v>
      </c>
      <c r="BZ100" s="149">
        <v>0</v>
      </c>
    </row>
    <row r="101" spans="1:78">
      <c r="A101" s="149">
        <f t="shared" si="29"/>
        <v>20409</v>
      </c>
      <c r="B101" s="154">
        <f t="shared" si="30"/>
        <v>300015</v>
      </c>
      <c r="C101" s="128" t="e">
        <f>VLOOKUP(B101,Multilingual!A:B,2,FALSE)</f>
        <v>#N/A</v>
      </c>
      <c r="D101" s="154">
        <v>0</v>
      </c>
      <c r="E101" s="154">
        <v>0</v>
      </c>
      <c r="F101" s="154">
        <f t="shared" si="32"/>
        <v>20408</v>
      </c>
      <c r="G101" s="154">
        <v>3</v>
      </c>
      <c r="H101" s="154">
        <v>1</v>
      </c>
      <c r="I101" s="154">
        <v>1</v>
      </c>
      <c r="J101" s="154">
        <v>0</v>
      </c>
      <c r="K101" s="154">
        <v>0</v>
      </c>
      <c r="L101" s="154">
        <v>0</v>
      </c>
      <c r="M101" s="154">
        <v>0</v>
      </c>
      <c r="N101" s="136">
        <v>7000</v>
      </c>
      <c r="O101" s="136">
        <v>45</v>
      </c>
      <c r="P101" s="136"/>
      <c r="Q101" s="145" t="s">
        <v>639</v>
      </c>
      <c r="R101" s="136"/>
      <c r="S101" s="154">
        <v>510709</v>
      </c>
      <c r="T101" s="149">
        <v>0</v>
      </c>
      <c r="U101" s="149">
        <v>0</v>
      </c>
      <c r="V101" s="149">
        <v>0</v>
      </c>
      <c r="W101" s="149">
        <v>0</v>
      </c>
      <c r="X101" s="149">
        <v>1</v>
      </c>
      <c r="Y101" s="149">
        <f t="shared" si="31"/>
        <v>5500</v>
      </c>
      <c r="Z101" s="149">
        <v>0</v>
      </c>
      <c r="AA101" s="149">
        <v>0</v>
      </c>
      <c r="AB101" s="149">
        <v>0</v>
      </c>
      <c r="AC101" s="149">
        <v>0</v>
      </c>
      <c r="AD101" s="149">
        <v>0</v>
      </c>
      <c r="AE101" s="149">
        <v>0</v>
      </c>
      <c r="AF101" s="149">
        <v>0</v>
      </c>
      <c r="AG101" s="149">
        <v>0</v>
      </c>
      <c r="AH101" s="149">
        <v>0</v>
      </c>
      <c r="AI101" s="149">
        <v>0</v>
      </c>
      <c r="AJ101" s="149">
        <v>0</v>
      </c>
      <c r="AK101" s="149">
        <v>0</v>
      </c>
      <c r="AL101" s="149">
        <v>0</v>
      </c>
      <c r="AM101" s="149">
        <v>0</v>
      </c>
      <c r="AN101" s="149">
        <v>0</v>
      </c>
      <c r="AO101" s="149">
        <v>0</v>
      </c>
      <c r="AP101" s="149">
        <v>0</v>
      </c>
      <c r="AQ101" s="149">
        <v>0</v>
      </c>
      <c r="AR101" s="149">
        <v>0</v>
      </c>
      <c r="AS101" s="149">
        <v>0</v>
      </c>
      <c r="AT101" s="149">
        <v>0</v>
      </c>
      <c r="AU101" s="149">
        <v>0</v>
      </c>
      <c r="AV101" s="149">
        <v>0</v>
      </c>
      <c r="AW101" s="149">
        <v>0</v>
      </c>
      <c r="AX101" s="149">
        <v>0</v>
      </c>
      <c r="AY101" s="149">
        <v>0</v>
      </c>
      <c r="AZ101" s="149">
        <v>0</v>
      </c>
      <c r="BA101" s="149">
        <v>0</v>
      </c>
      <c r="BB101" s="149">
        <v>0</v>
      </c>
      <c r="BC101" s="149">
        <v>0</v>
      </c>
      <c r="BD101" s="149">
        <v>0</v>
      </c>
      <c r="BE101" s="149">
        <v>0</v>
      </c>
      <c r="BF101" s="149">
        <v>0</v>
      </c>
      <c r="BG101" s="149">
        <v>0</v>
      </c>
      <c r="BH101" s="149">
        <v>0</v>
      </c>
      <c r="BI101" s="149">
        <v>0</v>
      </c>
      <c r="BJ101" s="149">
        <v>0</v>
      </c>
      <c r="BK101" s="149">
        <v>0</v>
      </c>
      <c r="BL101" s="149">
        <v>0</v>
      </c>
      <c r="BM101" s="149">
        <v>0</v>
      </c>
      <c r="BN101" s="149">
        <v>0</v>
      </c>
      <c r="BO101" s="149">
        <v>0</v>
      </c>
      <c r="BP101" s="149">
        <v>0</v>
      </c>
      <c r="BQ101" s="149">
        <v>0</v>
      </c>
      <c r="BR101" s="149">
        <v>0</v>
      </c>
      <c r="BS101" s="149">
        <v>0</v>
      </c>
      <c r="BT101" s="149">
        <v>0</v>
      </c>
      <c r="BU101" s="149">
        <v>0</v>
      </c>
      <c r="BV101" s="149">
        <v>0</v>
      </c>
      <c r="BW101" s="149">
        <v>0</v>
      </c>
      <c r="BX101" s="149">
        <v>0</v>
      </c>
      <c r="BY101" s="149">
        <v>0</v>
      </c>
      <c r="BZ101" s="149">
        <v>0</v>
      </c>
    </row>
    <row r="102" spans="1:78">
      <c r="A102" s="149">
        <f t="shared" si="29"/>
        <v>20410</v>
      </c>
      <c r="B102" s="154">
        <f t="shared" si="30"/>
        <v>300015</v>
      </c>
      <c r="C102" s="128" t="e">
        <f>VLOOKUP(B102,Multilingual!A:B,2,FALSE)</f>
        <v>#N/A</v>
      </c>
      <c r="D102" s="154">
        <v>0</v>
      </c>
      <c r="E102" s="154">
        <v>0</v>
      </c>
      <c r="F102" s="154">
        <f t="shared" si="32"/>
        <v>20409</v>
      </c>
      <c r="G102" s="154">
        <v>3</v>
      </c>
      <c r="H102" s="154">
        <v>1</v>
      </c>
      <c r="I102" s="154">
        <v>1</v>
      </c>
      <c r="J102" s="154">
        <v>0</v>
      </c>
      <c r="K102" s="154">
        <v>0</v>
      </c>
      <c r="L102" s="154">
        <v>0</v>
      </c>
      <c r="M102" s="154">
        <v>0</v>
      </c>
      <c r="N102" s="136">
        <v>7000</v>
      </c>
      <c r="O102" s="136">
        <v>45</v>
      </c>
      <c r="P102" s="136"/>
      <c r="Q102" s="145" t="s">
        <v>639</v>
      </c>
      <c r="R102" s="136"/>
      <c r="S102" s="154">
        <v>510710</v>
      </c>
      <c r="T102" s="149">
        <v>0</v>
      </c>
      <c r="U102" s="149">
        <v>0</v>
      </c>
      <c r="V102" s="149">
        <v>0</v>
      </c>
      <c r="W102" s="149">
        <v>0</v>
      </c>
      <c r="X102" s="149">
        <v>1</v>
      </c>
      <c r="Y102" s="149">
        <f t="shared" si="31"/>
        <v>6000</v>
      </c>
      <c r="Z102" s="149">
        <v>0</v>
      </c>
      <c r="AA102" s="149">
        <v>0</v>
      </c>
      <c r="AB102" s="149">
        <v>0</v>
      </c>
      <c r="AC102" s="149">
        <v>0</v>
      </c>
      <c r="AD102" s="149">
        <v>0</v>
      </c>
      <c r="AE102" s="149">
        <v>0</v>
      </c>
      <c r="AF102" s="149">
        <v>0</v>
      </c>
      <c r="AG102" s="149">
        <v>0</v>
      </c>
      <c r="AH102" s="149">
        <v>0</v>
      </c>
      <c r="AI102" s="149">
        <v>0</v>
      </c>
      <c r="AJ102" s="149">
        <v>0</v>
      </c>
      <c r="AK102" s="149">
        <v>0</v>
      </c>
      <c r="AL102" s="149">
        <v>0</v>
      </c>
      <c r="AM102" s="149">
        <v>0</v>
      </c>
      <c r="AN102" s="149">
        <v>0</v>
      </c>
      <c r="AO102" s="149">
        <v>0</v>
      </c>
      <c r="AP102" s="149">
        <v>0</v>
      </c>
      <c r="AQ102" s="149">
        <v>0</v>
      </c>
      <c r="AR102" s="149">
        <v>0</v>
      </c>
      <c r="AS102" s="149">
        <v>0</v>
      </c>
      <c r="AT102" s="149">
        <v>0</v>
      </c>
      <c r="AU102" s="149">
        <v>0</v>
      </c>
      <c r="AV102" s="149">
        <v>0</v>
      </c>
      <c r="AW102" s="149">
        <v>0</v>
      </c>
      <c r="AX102" s="149">
        <v>0</v>
      </c>
      <c r="AY102" s="149">
        <v>0</v>
      </c>
      <c r="AZ102" s="149">
        <v>0</v>
      </c>
      <c r="BA102" s="149">
        <v>0</v>
      </c>
      <c r="BB102" s="149">
        <v>0</v>
      </c>
      <c r="BC102" s="149">
        <v>0</v>
      </c>
      <c r="BD102" s="149">
        <v>0</v>
      </c>
      <c r="BE102" s="149">
        <v>0</v>
      </c>
      <c r="BF102" s="149">
        <v>0</v>
      </c>
      <c r="BG102" s="149">
        <v>0</v>
      </c>
      <c r="BH102" s="149">
        <v>0</v>
      </c>
      <c r="BI102" s="149">
        <v>0</v>
      </c>
      <c r="BJ102" s="149">
        <v>0</v>
      </c>
      <c r="BK102" s="149">
        <v>0</v>
      </c>
      <c r="BL102" s="149">
        <v>0</v>
      </c>
      <c r="BM102" s="149">
        <v>0</v>
      </c>
      <c r="BN102" s="149">
        <v>0</v>
      </c>
      <c r="BO102" s="149">
        <v>0</v>
      </c>
      <c r="BP102" s="149">
        <v>0</v>
      </c>
      <c r="BQ102" s="149">
        <v>0</v>
      </c>
      <c r="BR102" s="149">
        <v>0</v>
      </c>
      <c r="BS102" s="149">
        <v>0</v>
      </c>
      <c r="BT102" s="149">
        <v>0</v>
      </c>
      <c r="BU102" s="149">
        <v>0</v>
      </c>
      <c r="BV102" s="149">
        <v>0</v>
      </c>
      <c r="BW102" s="149">
        <v>0</v>
      </c>
      <c r="BX102" s="149">
        <v>0</v>
      </c>
      <c r="BY102" s="149">
        <v>0</v>
      </c>
      <c r="BZ102" s="149">
        <v>0</v>
      </c>
    </row>
    <row r="103" spans="1:78">
      <c r="A103" s="149">
        <f>A93+100</f>
        <v>20501</v>
      </c>
      <c r="B103" s="154">
        <f>B102+1</f>
        <v>300016</v>
      </c>
      <c r="C103" s="128" t="e">
        <f>VLOOKUP(B103,Multilingual!A:B,2,FALSE)</f>
        <v>#N/A</v>
      </c>
      <c r="D103" s="154">
        <v>0</v>
      </c>
      <c r="E103" s="154">
        <v>0</v>
      </c>
      <c r="F103" s="154">
        <v>0</v>
      </c>
      <c r="G103" s="154">
        <v>8</v>
      </c>
      <c r="H103" s="154">
        <v>1</v>
      </c>
      <c r="I103" s="154">
        <v>1</v>
      </c>
      <c r="J103" s="154">
        <v>0</v>
      </c>
      <c r="K103" s="154">
        <v>0</v>
      </c>
      <c r="L103" s="154">
        <v>0</v>
      </c>
      <c r="M103" s="154">
        <v>0</v>
      </c>
      <c r="N103" s="136">
        <v>15000</v>
      </c>
      <c r="O103" s="136">
        <v>60</v>
      </c>
      <c r="P103" s="136"/>
      <c r="Q103" s="145" t="s">
        <v>640</v>
      </c>
      <c r="R103" s="136"/>
      <c r="S103" s="154">
        <v>510801</v>
      </c>
      <c r="T103" s="149">
        <v>7000</v>
      </c>
      <c r="U103" s="149">
        <v>0</v>
      </c>
      <c r="V103" s="149">
        <v>0</v>
      </c>
      <c r="W103" s="149">
        <v>0</v>
      </c>
      <c r="X103" s="149">
        <v>2</v>
      </c>
      <c r="Y103" s="149">
        <v>0</v>
      </c>
      <c r="Z103" s="149">
        <v>0</v>
      </c>
      <c r="AA103" s="149">
        <v>0</v>
      </c>
      <c r="AB103" s="149">
        <v>0</v>
      </c>
      <c r="AC103" s="149">
        <v>0</v>
      </c>
      <c r="AD103" s="149">
        <v>0</v>
      </c>
      <c r="AE103" s="149">
        <v>0</v>
      </c>
      <c r="AF103" s="149">
        <v>0</v>
      </c>
      <c r="AG103" s="149">
        <v>0</v>
      </c>
      <c r="AH103" s="149">
        <v>0</v>
      </c>
      <c r="AI103" s="149">
        <v>0</v>
      </c>
      <c r="AJ103" s="149">
        <v>0</v>
      </c>
      <c r="AK103" s="149">
        <v>0</v>
      </c>
      <c r="AL103" s="149">
        <v>0</v>
      </c>
      <c r="AM103" s="149">
        <v>0</v>
      </c>
      <c r="AN103" s="149">
        <v>0</v>
      </c>
      <c r="AO103" s="149">
        <v>0</v>
      </c>
      <c r="AP103" s="149">
        <v>0</v>
      </c>
      <c r="AQ103" s="149">
        <v>0</v>
      </c>
      <c r="AR103" s="149">
        <v>0</v>
      </c>
      <c r="AS103" s="149">
        <v>0</v>
      </c>
      <c r="AT103" s="149">
        <v>0</v>
      </c>
      <c r="AU103" s="149">
        <v>0</v>
      </c>
      <c r="AV103" s="149">
        <v>0</v>
      </c>
      <c r="AW103" s="149">
        <v>0</v>
      </c>
      <c r="AX103" s="149">
        <v>0</v>
      </c>
      <c r="AY103" s="149">
        <v>0</v>
      </c>
      <c r="AZ103" s="149">
        <v>0</v>
      </c>
      <c r="BA103" s="149">
        <v>0</v>
      </c>
      <c r="BB103" s="149">
        <v>0</v>
      </c>
      <c r="BC103" s="149">
        <v>0</v>
      </c>
      <c r="BD103" s="149">
        <v>0</v>
      </c>
      <c r="BE103" s="149">
        <v>0</v>
      </c>
      <c r="BF103" s="149">
        <v>0</v>
      </c>
      <c r="BG103" s="149">
        <v>0</v>
      </c>
      <c r="BH103" s="149">
        <v>0</v>
      </c>
      <c r="BI103" s="149">
        <v>0</v>
      </c>
      <c r="BJ103" s="149">
        <v>0</v>
      </c>
      <c r="BK103" s="149">
        <v>0</v>
      </c>
      <c r="BL103" s="149">
        <v>0</v>
      </c>
      <c r="BM103" s="149">
        <v>0</v>
      </c>
      <c r="BN103" s="149">
        <v>0</v>
      </c>
      <c r="BO103" s="149">
        <v>0</v>
      </c>
      <c r="BP103" s="149">
        <v>0</v>
      </c>
      <c r="BQ103" s="149">
        <v>0</v>
      </c>
      <c r="BR103" s="149">
        <v>10000</v>
      </c>
      <c r="BS103" s="149">
        <v>0</v>
      </c>
      <c r="BT103" s="149">
        <v>0</v>
      </c>
      <c r="BU103" s="149">
        <v>0</v>
      </c>
      <c r="BV103" s="149">
        <v>0</v>
      </c>
      <c r="BW103" s="149">
        <v>0</v>
      </c>
      <c r="BX103" s="149">
        <v>0</v>
      </c>
      <c r="BY103" s="149">
        <v>0</v>
      </c>
      <c r="BZ103" s="149">
        <v>0</v>
      </c>
    </row>
    <row r="104" spans="1:78">
      <c r="A104" s="149">
        <f>A103+1</f>
        <v>20502</v>
      </c>
      <c r="B104" s="154">
        <f>B103</f>
        <v>300016</v>
      </c>
      <c r="C104" s="128" t="e">
        <f>VLOOKUP(B104,Multilingual!A:B,2,FALSE)</f>
        <v>#N/A</v>
      </c>
      <c r="D104" s="154">
        <v>0</v>
      </c>
      <c r="E104" s="154">
        <v>0</v>
      </c>
      <c r="F104" s="154">
        <f>F94+100</f>
        <v>20501</v>
      </c>
      <c r="G104" s="154">
        <v>8</v>
      </c>
      <c r="H104" s="154">
        <v>1</v>
      </c>
      <c r="I104" s="154">
        <v>1</v>
      </c>
      <c r="J104" s="154">
        <v>0</v>
      </c>
      <c r="K104" s="154">
        <v>0</v>
      </c>
      <c r="L104" s="154">
        <v>0</v>
      </c>
      <c r="M104" s="154">
        <v>0</v>
      </c>
      <c r="N104" s="136">
        <v>15000</v>
      </c>
      <c r="O104" s="136">
        <v>60</v>
      </c>
      <c r="P104" s="136"/>
      <c r="Q104" s="145" t="s">
        <v>640</v>
      </c>
      <c r="R104" s="136"/>
      <c r="S104" s="154">
        <v>510802</v>
      </c>
      <c r="T104" s="149">
        <v>7000</v>
      </c>
      <c r="U104" s="149">
        <v>0</v>
      </c>
      <c r="V104" s="149">
        <v>0</v>
      </c>
      <c r="W104" s="149">
        <v>0</v>
      </c>
      <c r="X104" s="149">
        <v>2</v>
      </c>
      <c r="Y104" s="149">
        <v>0</v>
      </c>
      <c r="Z104" s="149">
        <v>0</v>
      </c>
      <c r="AA104" s="149">
        <v>0</v>
      </c>
      <c r="AB104" s="149">
        <v>0</v>
      </c>
      <c r="AC104" s="149">
        <v>0</v>
      </c>
      <c r="AD104" s="149">
        <v>0</v>
      </c>
      <c r="AE104" s="149">
        <v>0</v>
      </c>
      <c r="AF104" s="149">
        <v>0</v>
      </c>
      <c r="AG104" s="149">
        <v>0</v>
      </c>
      <c r="AH104" s="149">
        <v>0</v>
      </c>
      <c r="AI104" s="149">
        <v>0</v>
      </c>
      <c r="AJ104" s="149">
        <v>0</v>
      </c>
      <c r="AK104" s="149">
        <v>0</v>
      </c>
      <c r="AL104" s="149">
        <v>0</v>
      </c>
      <c r="AM104" s="149">
        <v>0</v>
      </c>
      <c r="AN104" s="149">
        <v>0</v>
      </c>
      <c r="AO104" s="149">
        <v>0</v>
      </c>
      <c r="AP104" s="149">
        <v>0</v>
      </c>
      <c r="AQ104" s="149">
        <v>0</v>
      </c>
      <c r="AR104" s="149">
        <v>0</v>
      </c>
      <c r="AS104" s="149">
        <v>0</v>
      </c>
      <c r="AT104" s="149">
        <v>0</v>
      </c>
      <c r="AU104" s="149">
        <v>0</v>
      </c>
      <c r="AV104" s="149">
        <v>0</v>
      </c>
      <c r="AW104" s="149">
        <v>0</v>
      </c>
      <c r="AX104" s="149">
        <v>0</v>
      </c>
      <c r="AY104" s="149">
        <v>0</v>
      </c>
      <c r="AZ104" s="149">
        <v>0</v>
      </c>
      <c r="BA104" s="149">
        <v>0</v>
      </c>
      <c r="BB104" s="149">
        <v>0</v>
      </c>
      <c r="BC104" s="149">
        <v>0</v>
      </c>
      <c r="BD104" s="149">
        <v>0</v>
      </c>
      <c r="BE104" s="149">
        <v>0</v>
      </c>
      <c r="BF104" s="149">
        <v>0</v>
      </c>
      <c r="BG104" s="149">
        <v>0</v>
      </c>
      <c r="BH104" s="149">
        <v>0</v>
      </c>
      <c r="BI104" s="149">
        <v>0</v>
      </c>
      <c r="BJ104" s="149">
        <v>0</v>
      </c>
      <c r="BK104" s="149">
        <v>0</v>
      </c>
      <c r="BL104" s="149">
        <v>0</v>
      </c>
      <c r="BM104" s="149">
        <v>0</v>
      </c>
      <c r="BN104" s="149">
        <v>0</v>
      </c>
      <c r="BO104" s="149">
        <v>0</v>
      </c>
      <c r="BP104" s="149">
        <v>0</v>
      </c>
      <c r="BQ104" s="149">
        <v>0</v>
      </c>
      <c r="BR104" s="149">
        <v>10000</v>
      </c>
      <c r="BS104" s="149">
        <v>0</v>
      </c>
      <c r="BT104" s="149">
        <v>0</v>
      </c>
      <c r="BU104" s="149">
        <v>0</v>
      </c>
      <c r="BV104" s="149">
        <v>0</v>
      </c>
      <c r="BW104" s="149">
        <v>0</v>
      </c>
      <c r="BX104" s="149">
        <v>0</v>
      </c>
      <c r="BY104" s="149">
        <v>0</v>
      </c>
      <c r="BZ104" s="149">
        <v>0</v>
      </c>
    </row>
    <row r="105" spans="1:78">
      <c r="A105" s="149">
        <f t="shared" ref="A105:A112" si="33">A104+1</f>
        <v>20503</v>
      </c>
      <c r="B105" s="154">
        <f t="shared" ref="B105:B112" si="34">B104</f>
        <v>300016</v>
      </c>
      <c r="C105" s="128" t="e">
        <f>VLOOKUP(B105,Multilingual!A:B,2,FALSE)</f>
        <v>#N/A</v>
      </c>
      <c r="D105" s="154">
        <v>0</v>
      </c>
      <c r="E105" s="154">
        <v>0</v>
      </c>
      <c r="F105" s="154">
        <f>F104+1</f>
        <v>20502</v>
      </c>
      <c r="G105" s="154">
        <v>8</v>
      </c>
      <c r="H105" s="154">
        <v>1</v>
      </c>
      <c r="I105" s="154">
        <v>1</v>
      </c>
      <c r="J105" s="154">
        <v>0</v>
      </c>
      <c r="K105" s="154">
        <v>0</v>
      </c>
      <c r="L105" s="154">
        <v>0</v>
      </c>
      <c r="M105" s="154">
        <v>0</v>
      </c>
      <c r="N105" s="136">
        <v>15000</v>
      </c>
      <c r="O105" s="136">
        <v>60</v>
      </c>
      <c r="P105" s="136"/>
      <c r="Q105" s="145" t="s">
        <v>640</v>
      </c>
      <c r="R105" s="136"/>
      <c r="S105" s="154">
        <v>510803</v>
      </c>
      <c r="T105" s="149">
        <v>7000</v>
      </c>
      <c r="U105" s="149">
        <v>0</v>
      </c>
      <c r="V105" s="149">
        <v>0</v>
      </c>
      <c r="W105" s="149">
        <v>0</v>
      </c>
      <c r="X105" s="149">
        <v>2</v>
      </c>
      <c r="Y105" s="149">
        <v>0</v>
      </c>
      <c r="Z105" s="149">
        <v>0</v>
      </c>
      <c r="AA105" s="149">
        <v>0</v>
      </c>
      <c r="AB105" s="149">
        <v>0</v>
      </c>
      <c r="AC105" s="149">
        <v>0</v>
      </c>
      <c r="AD105" s="149">
        <v>0</v>
      </c>
      <c r="AE105" s="149">
        <v>0</v>
      </c>
      <c r="AF105" s="149">
        <v>0</v>
      </c>
      <c r="AG105" s="149">
        <v>0</v>
      </c>
      <c r="AH105" s="149">
        <v>0</v>
      </c>
      <c r="AI105" s="149">
        <v>0</v>
      </c>
      <c r="AJ105" s="149">
        <v>0</v>
      </c>
      <c r="AK105" s="149">
        <v>0</v>
      </c>
      <c r="AL105" s="149">
        <v>0</v>
      </c>
      <c r="AM105" s="149">
        <v>0</v>
      </c>
      <c r="AN105" s="149">
        <v>0</v>
      </c>
      <c r="AO105" s="149">
        <v>0</v>
      </c>
      <c r="AP105" s="149">
        <v>0</v>
      </c>
      <c r="AQ105" s="149">
        <v>0</v>
      </c>
      <c r="AR105" s="149">
        <v>0</v>
      </c>
      <c r="AS105" s="149">
        <v>0</v>
      </c>
      <c r="AT105" s="149">
        <v>0</v>
      </c>
      <c r="AU105" s="149">
        <v>0</v>
      </c>
      <c r="AV105" s="149">
        <v>0</v>
      </c>
      <c r="AW105" s="149">
        <v>0</v>
      </c>
      <c r="AX105" s="149">
        <v>0</v>
      </c>
      <c r="AY105" s="149">
        <v>0</v>
      </c>
      <c r="AZ105" s="149">
        <v>0</v>
      </c>
      <c r="BA105" s="149">
        <v>0</v>
      </c>
      <c r="BB105" s="149">
        <v>0</v>
      </c>
      <c r="BC105" s="149">
        <v>0</v>
      </c>
      <c r="BD105" s="149">
        <v>0</v>
      </c>
      <c r="BE105" s="149">
        <v>0</v>
      </c>
      <c r="BF105" s="149">
        <v>0</v>
      </c>
      <c r="BG105" s="149">
        <v>0</v>
      </c>
      <c r="BH105" s="149">
        <v>0</v>
      </c>
      <c r="BI105" s="149">
        <v>0</v>
      </c>
      <c r="BJ105" s="149">
        <v>0</v>
      </c>
      <c r="BK105" s="149">
        <v>0</v>
      </c>
      <c r="BL105" s="149">
        <v>0</v>
      </c>
      <c r="BM105" s="149">
        <v>0</v>
      </c>
      <c r="BN105" s="149">
        <v>0</v>
      </c>
      <c r="BO105" s="149">
        <v>0</v>
      </c>
      <c r="BP105" s="149">
        <v>0</v>
      </c>
      <c r="BQ105" s="149">
        <v>0</v>
      </c>
      <c r="BR105" s="149">
        <v>10000</v>
      </c>
      <c r="BS105" s="149">
        <v>0</v>
      </c>
      <c r="BT105" s="149">
        <v>0</v>
      </c>
      <c r="BU105" s="149">
        <v>0</v>
      </c>
      <c r="BV105" s="149">
        <v>0</v>
      </c>
      <c r="BW105" s="149">
        <v>0</v>
      </c>
      <c r="BX105" s="149">
        <v>0</v>
      </c>
      <c r="BY105" s="149">
        <v>0</v>
      </c>
      <c r="BZ105" s="149">
        <v>0</v>
      </c>
    </row>
    <row r="106" spans="1:78">
      <c r="A106" s="149">
        <f t="shared" si="33"/>
        <v>20504</v>
      </c>
      <c r="B106" s="154">
        <f t="shared" si="34"/>
        <v>300016</v>
      </c>
      <c r="C106" s="128" t="e">
        <f>VLOOKUP(B106,Multilingual!A:B,2,FALSE)</f>
        <v>#N/A</v>
      </c>
      <c r="D106" s="154">
        <v>0</v>
      </c>
      <c r="E106" s="154">
        <v>0</v>
      </c>
      <c r="F106" s="154">
        <f t="shared" ref="F106:F112" si="35">F105+1</f>
        <v>20503</v>
      </c>
      <c r="G106" s="154">
        <v>8</v>
      </c>
      <c r="H106" s="154">
        <v>1</v>
      </c>
      <c r="I106" s="154">
        <v>1</v>
      </c>
      <c r="J106" s="154">
        <v>0</v>
      </c>
      <c r="K106" s="154">
        <v>0</v>
      </c>
      <c r="L106" s="154">
        <v>0</v>
      </c>
      <c r="M106" s="154">
        <v>0</v>
      </c>
      <c r="N106" s="136">
        <v>15000</v>
      </c>
      <c r="O106" s="136">
        <v>60</v>
      </c>
      <c r="P106" s="136"/>
      <c r="Q106" s="145" t="s">
        <v>640</v>
      </c>
      <c r="R106" s="136"/>
      <c r="S106" s="154">
        <v>510804</v>
      </c>
      <c r="T106" s="149">
        <v>7000</v>
      </c>
      <c r="U106" s="149">
        <v>0</v>
      </c>
      <c r="V106" s="149">
        <v>0</v>
      </c>
      <c r="W106" s="149">
        <v>0</v>
      </c>
      <c r="X106" s="149">
        <v>2</v>
      </c>
      <c r="Y106" s="149">
        <v>0</v>
      </c>
      <c r="Z106" s="149">
        <v>0</v>
      </c>
      <c r="AA106" s="149">
        <v>0</v>
      </c>
      <c r="AB106" s="149">
        <v>0</v>
      </c>
      <c r="AC106" s="149">
        <v>0</v>
      </c>
      <c r="AD106" s="149">
        <v>0</v>
      </c>
      <c r="AE106" s="149">
        <v>0</v>
      </c>
      <c r="AF106" s="149">
        <v>0</v>
      </c>
      <c r="AG106" s="149">
        <v>0</v>
      </c>
      <c r="AH106" s="149">
        <v>0</v>
      </c>
      <c r="AI106" s="149">
        <v>0</v>
      </c>
      <c r="AJ106" s="149">
        <v>0</v>
      </c>
      <c r="AK106" s="149">
        <v>0</v>
      </c>
      <c r="AL106" s="149">
        <v>0</v>
      </c>
      <c r="AM106" s="149">
        <v>0</v>
      </c>
      <c r="AN106" s="149">
        <v>0</v>
      </c>
      <c r="AO106" s="149">
        <v>0</v>
      </c>
      <c r="AP106" s="149">
        <v>0</v>
      </c>
      <c r="AQ106" s="149">
        <v>0</v>
      </c>
      <c r="AR106" s="149">
        <v>0</v>
      </c>
      <c r="AS106" s="149">
        <v>0</v>
      </c>
      <c r="AT106" s="149">
        <v>0</v>
      </c>
      <c r="AU106" s="149">
        <v>0</v>
      </c>
      <c r="AV106" s="149">
        <v>0</v>
      </c>
      <c r="AW106" s="149">
        <v>0</v>
      </c>
      <c r="AX106" s="149">
        <v>0</v>
      </c>
      <c r="AY106" s="149">
        <v>0</v>
      </c>
      <c r="AZ106" s="149">
        <v>0</v>
      </c>
      <c r="BA106" s="149">
        <v>0</v>
      </c>
      <c r="BB106" s="149">
        <v>0</v>
      </c>
      <c r="BC106" s="149">
        <v>0</v>
      </c>
      <c r="BD106" s="149">
        <v>0</v>
      </c>
      <c r="BE106" s="149">
        <v>0</v>
      </c>
      <c r="BF106" s="149">
        <v>0</v>
      </c>
      <c r="BG106" s="149">
        <v>0</v>
      </c>
      <c r="BH106" s="149">
        <v>0</v>
      </c>
      <c r="BI106" s="149">
        <v>0</v>
      </c>
      <c r="BJ106" s="149">
        <v>0</v>
      </c>
      <c r="BK106" s="149">
        <v>0</v>
      </c>
      <c r="BL106" s="149">
        <v>0</v>
      </c>
      <c r="BM106" s="149">
        <v>0</v>
      </c>
      <c r="BN106" s="149">
        <v>0</v>
      </c>
      <c r="BO106" s="149">
        <v>0</v>
      </c>
      <c r="BP106" s="149">
        <v>0</v>
      </c>
      <c r="BQ106" s="149">
        <v>0</v>
      </c>
      <c r="BR106" s="149">
        <v>10000</v>
      </c>
      <c r="BS106" s="149">
        <v>0</v>
      </c>
      <c r="BT106" s="149">
        <v>0</v>
      </c>
      <c r="BU106" s="149">
        <v>0</v>
      </c>
      <c r="BV106" s="149">
        <v>0</v>
      </c>
      <c r="BW106" s="149">
        <v>0</v>
      </c>
      <c r="BX106" s="149">
        <v>0</v>
      </c>
      <c r="BY106" s="149">
        <v>0</v>
      </c>
      <c r="BZ106" s="149">
        <v>0</v>
      </c>
    </row>
    <row r="107" spans="1:78">
      <c r="A107" s="149">
        <f t="shared" si="33"/>
        <v>20505</v>
      </c>
      <c r="B107" s="154">
        <f t="shared" si="34"/>
        <v>300016</v>
      </c>
      <c r="C107" s="128" t="e">
        <f>VLOOKUP(B107,Multilingual!A:B,2,FALSE)</f>
        <v>#N/A</v>
      </c>
      <c r="D107" s="154">
        <v>0</v>
      </c>
      <c r="E107" s="154">
        <v>0</v>
      </c>
      <c r="F107" s="154">
        <f t="shared" si="35"/>
        <v>20504</v>
      </c>
      <c r="G107" s="154">
        <v>8</v>
      </c>
      <c r="H107" s="154">
        <v>1</v>
      </c>
      <c r="I107" s="154">
        <v>1</v>
      </c>
      <c r="J107" s="154">
        <v>0</v>
      </c>
      <c r="K107" s="154">
        <v>0</v>
      </c>
      <c r="L107" s="154">
        <v>0</v>
      </c>
      <c r="M107" s="154">
        <v>0</v>
      </c>
      <c r="N107" s="136">
        <v>15000</v>
      </c>
      <c r="O107" s="136">
        <v>60</v>
      </c>
      <c r="P107" s="136"/>
      <c r="Q107" s="145" t="s">
        <v>640</v>
      </c>
      <c r="R107" s="136"/>
      <c r="S107" s="154">
        <v>510805</v>
      </c>
      <c r="T107" s="149">
        <v>7000</v>
      </c>
      <c r="U107" s="149">
        <v>0</v>
      </c>
      <c r="V107" s="149">
        <v>0</v>
      </c>
      <c r="W107" s="149">
        <v>0</v>
      </c>
      <c r="X107" s="149">
        <v>2</v>
      </c>
      <c r="Y107" s="149">
        <v>0</v>
      </c>
      <c r="Z107" s="149">
        <v>0</v>
      </c>
      <c r="AA107" s="149">
        <v>0</v>
      </c>
      <c r="AB107" s="149">
        <v>0</v>
      </c>
      <c r="AC107" s="149">
        <v>0</v>
      </c>
      <c r="AD107" s="149">
        <v>0</v>
      </c>
      <c r="AE107" s="149">
        <v>0</v>
      </c>
      <c r="AF107" s="149">
        <v>0</v>
      </c>
      <c r="AG107" s="149">
        <v>0</v>
      </c>
      <c r="AH107" s="149">
        <v>0</v>
      </c>
      <c r="AI107" s="149">
        <v>0</v>
      </c>
      <c r="AJ107" s="149">
        <v>0</v>
      </c>
      <c r="AK107" s="149">
        <v>0</v>
      </c>
      <c r="AL107" s="149">
        <v>0</v>
      </c>
      <c r="AM107" s="149">
        <v>0</v>
      </c>
      <c r="AN107" s="149">
        <v>0</v>
      </c>
      <c r="AO107" s="149">
        <v>0</v>
      </c>
      <c r="AP107" s="149">
        <v>0</v>
      </c>
      <c r="AQ107" s="149">
        <v>0</v>
      </c>
      <c r="AR107" s="149">
        <v>0</v>
      </c>
      <c r="AS107" s="149">
        <v>0</v>
      </c>
      <c r="AT107" s="149">
        <v>0</v>
      </c>
      <c r="AU107" s="149">
        <v>0</v>
      </c>
      <c r="AV107" s="149">
        <v>0</v>
      </c>
      <c r="AW107" s="149">
        <v>0</v>
      </c>
      <c r="AX107" s="149">
        <v>0</v>
      </c>
      <c r="AY107" s="149">
        <v>0</v>
      </c>
      <c r="AZ107" s="149">
        <v>0</v>
      </c>
      <c r="BA107" s="149">
        <v>0</v>
      </c>
      <c r="BB107" s="149">
        <v>0</v>
      </c>
      <c r="BC107" s="149">
        <v>0</v>
      </c>
      <c r="BD107" s="149">
        <v>0</v>
      </c>
      <c r="BE107" s="149">
        <v>0</v>
      </c>
      <c r="BF107" s="149">
        <v>0</v>
      </c>
      <c r="BG107" s="149">
        <v>0</v>
      </c>
      <c r="BH107" s="149">
        <v>0</v>
      </c>
      <c r="BI107" s="149">
        <v>0</v>
      </c>
      <c r="BJ107" s="149">
        <v>0</v>
      </c>
      <c r="BK107" s="149">
        <v>0</v>
      </c>
      <c r="BL107" s="149">
        <v>0</v>
      </c>
      <c r="BM107" s="149">
        <v>0</v>
      </c>
      <c r="BN107" s="149">
        <v>0</v>
      </c>
      <c r="BO107" s="149">
        <v>0</v>
      </c>
      <c r="BP107" s="149">
        <v>0</v>
      </c>
      <c r="BQ107" s="149">
        <v>0</v>
      </c>
      <c r="BR107" s="149">
        <v>10000</v>
      </c>
      <c r="BS107" s="149">
        <v>0</v>
      </c>
      <c r="BT107" s="149">
        <v>0</v>
      </c>
      <c r="BU107" s="149">
        <v>0</v>
      </c>
      <c r="BV107" s="149">
        <v>0</v>
      </c>
      <c r="BW107" s="149">
        <v>0</v>
      </c>
      <c r="BX107" s="149">
        <v>0</v>
      </c>
      <c r="BY107" s="149">
        <v>0</v>
      </c>
      <c r="BZ107" s="149">
        <v>0</v>
      </c>
    </row>
    <row r="108" spans="1:78">
      <c r="A108" s="149">
        <f t="shared" si="33"/>
        <v>20506</v>
      </c>
      <c r="B108" s="154">
        <f t="shared" si="34"/>
        <v>300016</v>
      </c>
      <c r="C108" s="128" t="e">
        <f>VLOOKUP(B108,Multilingual!A:B,2,FALSE)</f>
        <v>#N/A</v>
      </c>
      <c r="D108" s="154">
        <v>0</v>
      </c>
      <c r="E108" s="154">
        <v>0</v>
      </c>
      <c r="F108" s="154">
        <f t="shared" si="35"/>
        <v>20505</v>
      </c>
      <c r="G108" s="154">
        <v>8</v>
      </c>
      <c r="H108" s="154">
        <v>1</v>
      </c>
      <c r="I108" s="154">
        <v>1</v>
      </c>
      <c r="J108" s="154">
        <v>0</v>
      </c>
      <c r="K108" s="154">
        <v>0</v>
      </c>
      <c r="L108" s="154">
        <v>0</v>
      </c>
      <c r="M108" s="154">
        <v>0</v>
      </c>
      <c r="N108" s="136">
        <v>15000</v>
      </c>
      <c r="O108" s="136">
        <v>60</v>
      </c>
      <c r="P108" s="136"/>
      <c r="Q108" s="145" t="s">
        <v>640</v>
      </c>
      <c r="R108" s="136"/>
      <c r="S108" s="154">
        <v>510806</v>
      </c>
      <c r="T108" s="149">
        <v>7000</v>
      </c>
      <c r="U108" s="149">
        <v>0</v>
      </c>
      <c r="V108" s="149">
        <v>0</v>
      </c>
      <c r="W108" s="149">
        <v>0</v>
      </c>
      <c r="X108" s="149">
        <v>2</v>
      </c>
      <c r="Y108" s="149">
        <v>0</v>
      </c>
      <c r="Z108" s="149">
        <v>0</v>
      </c>
      <c r="AA108" s="149">
        <v>0</v>
      </c>
      <c r="AB108" s="149">
        <v>0</v>
      </c>
      <c r="AC108" s="149">
        <v>0</v>
      </c>
      <c r="AD108" s="149">
        <v>0</v>
      </c>
      <c r="AE108" s="149">
        <v>0</v>
      </c>
      <c r="AF108" s="149">
        <v>0</v>
      </c>
      <c r="AG108" s="149">
        <v>0</v>
      </c>
      <c r="AH108" s="149">
        <v>0</v>
      </c>
      <c r="AI108" s="149">
        <v>0</v>
      </c>
      <c r="AJ108" s="149">
        <v>0</v>
      </c>
      <c r="AK108" s="149">
        <v>0</v>
      </c>
      <c r="AL108" s="149">
        <v>0</v>
      </c>
      <c r="AM108" s="149">
        <v>0</v>
      </c>
      <c r="AN108" s="149">
        <v>0</v>
      </c>
      <c r="AO108" s="149">
        <v>0</v>
      </c>
      <c r="AP108" s="149">
        <v>0</v>
      </c>
      <c r="AQ108" s="149">
        <v>0</v>
      </c>
      <c r="AR108" s="149">
        <v>0</v>
      </c>
      <c r="AS108" s="149">
        <v>0</v>
      </c>
      <c r="AT108" s="149">
        <v>0</v>
      </c>
      <c r="AU108" s="149">
        <v>0</v>
      </c>
      <c r="AV108" s="149">
        <v>0</v>
      </c>
      <c r="AW108" s="149">
        <v>0</v>
      </c>
      <c r="AX108" s="149">
        <v>0</v>
      </c>
      <c r="AY108" s="149">
        <v>0</v>
      </c>
      <c r="AZ108" s="149">
        <v>0</v>
      </c>
      <c r="BA108" s="149">
        <v>0</v>
      </c>
      <c r="BB108" s="149">
        <v>0</v>
      </c>
      <c r="BC108" s="149">
        <v>0</v>
      </c>
      <c r="BD108" s="149">
        <v>0</v>
      </c>
      <c r="BE108" s="149">
        <v>0</v>
      </c>
      <c r="BF108" s="149">
        <v>0</v>
      </c>
      <c r="BG108" s="149">
        <v>0</v>
      </c>
      <c r="BH108" s="149">
        <v>0</v>
      </c>
      <c r="BI108" s="149">
        <v>0</v>
      </c>
      <c r="BJ108" s="149">
        <v>0</v>
      </c>
      <c r="BK108" s="149">
        <v>0</v>
      </c>
      <c r="BL108" s="149">
        <v>0</v>
      </c>
      <c r="BM108" s="149">
        <v>0</v>
      </c>
      <c r="BN108" s="149">
        <v>0</v>
      </c>
      <c r="BO108" s="149">
        <v>0</v>
      </c>
      <c r="BP108" s="149">
        <v>0</v>
      </c>
      <c r="BQ108" s="149">
        <v>0</v>
      </c>
      <c r="BR108" s="149">
        <v>10000</v>
      </c>
      <c r="BS108" s="149">
        <v>0</v>
      </c>
      <c r="BT108" s="149">
        <v>0</v>
      </c>
      <c r="BU108" s="149">
        <v>0</v>
      </c>
      <c r="BV108" s="149">
        <v>0</v>
      </c>
      <c r="BW108" s="149">
        <v>0</v>
      </c>
      <c r="BX108" s="149">
        <v>0</v>
      </c>
      <c r="BY108" s="149">
        <v>0</v>
      </c>
      <c r="BZ108" s="149">
        <v>0</v>
      </c>
    </row>
    <row r="109" spans="1:78">
      <c r="A109" s="149">
        <f t="shared" si="33"/>
        <v>20507</v>
      </c>
      <c r="B109" s="154">
        <f t="shared" si="34"/>
        <v>300016</v>
      </c>
      <c r="C109" s="128" t="e">
        <f>VLOOKUP(B109,Multilingual!A:B,2,FALSE)</f>
        <v>#N/A</v>
      </c>
      <c r="D109" s="154">
        <v>0</v>
      </c>
      <c r="E109" s="154">
        <v>0</v>
      </c>
      <c r="F109" s="154">
        <f t="shared" si="35"/>
        <v>20506</v>
      </c>
      <c r="G109" s="154">
        <v>8</v>
      </c>
      <c r="H109" s="154">
        <v>1</v>
      </c>
      <c r="I109" s="154">
        <v>1</v>
      </c>
      <c r="J109" s="154">
        <v>0</v>
      </c>
      <c r="K109" s="154">
        <v>0</v>
      </c>
      <c r="L109" s="154">
        <v>0</v>
      </c>
      <c r="M109" s="154">
        <v>0</v>
      </c>
      <c r="N109" s="136">
        <v>15000</v>
      </c>
      <c r="O109" s="136">
        <v>60</v>
      </c>
      <c r="P109" s="136"/>
      <c r="Q109" s="145" t="s">
        <v>640</v>
      </c>
      <c r="R109" s="136"/>
      <c r="S109" s="154">
        <v>510807</v>
      </c>
      <c r="T109" s="149">
        <v>7000</v>
      </c>
      <c r="U109" s="149">
        <v>0</v>
      </c>
      <c r="V109" s="149">
        <v>0</v>
      </c>
      <c r="W109" s="149">
        <v>0</v>
      </c>
      <c r="X109" s="149">
        <v>2</v>
      </c>
      <c r="Y109" s="149">
        <v>0</v>
      </c>
      <c r="Z109" s="149">
        <v>0</v>
      </c>
      <c r="AA109" s="149">
        <v>0</v>
      </c>
      <c r="AB109" s="149">
        <v>0</v>
      </c>
      <c r="AC109" s="149">
        <v>0</v>
      </c>
      <c r="AD109" s="149">
        <v>0</v>
      </c>
      <c r="AE109" s="149">
        <v>0</v>
      </c>
      <c r="AF109" s="149">
        <v>0</v>
      </c>
      <c r="AG109" s="149">
        <v>0</v>
      </c>
      <c r="AH109" s="149">
        <v>0</v>
      </c>
      <c r="AI109" s="149">
        <v>0</v>
      </c>
      <c r="AJ109" s="149">
        <v>0</v>
      </c>
      <c r="AK109" s="149">
        <v>0</v>
      </c>
      <c r="AL109" s="149">
        <v>0</v>
      </c>
      <c r="AM109" s="149">
        <v>0</v>
      </c>
      <c r="AN109" s="149">
        <v>0</v>
      </c>
      <c r="AO109" s="149">
        <v>0</v>
      </c>
      <c r="AP109" s="149">
        <v>0</v>
      </c>
      <c r="AQ109" s="149">
        <v>0</v>
      </c>
      <c r="AR109" s="149">
        <v>0</v>
      </c>
      <c r="AS109" s="149">
        <v>0</v>
      </c>
      <c r="AT109" s="149">
        <v>0</v>
      </c>
      <c r="AU109" s="149">
        <v>0</v>
      </c>
      <c r="AV109" s="149">
        <v>0</v>
      </c>
      <c r="AW109" s="149">
        <v>0</v>
      </c>
      <c r="AX109" s="149">
        <v>0</v>
      </c>
      <c r="AY109" s="149">
        <v>0</v>
      </c>
      <c r="AZ109" s="149">
        <v>0</v>
      </c>
      <c r="BA109" s="149">
        <v>0</v>
      </c>
      <c r="BB109" s="149">
        <v>0</v>
      </c>
      <c r="BC109" s="149">
        <v>0</v>
      </c>
      <c r="BD109" s="149">
        <v>0</v>
      </c>
      <c r="BE109" s="149">
        <v>0</v>
      </c>
      <c r="BF109" s="149">
        <v>0</v>
      </c>
      <c r="BG109" s="149">
        <v>0</v>
      </c>
      <c r="BH109" s="149">
        <v>0</v>
      </c>
      <c r="BI109" s="149">
        <v>0</v>
      </c>
      <c r="BJ109" s="149">
        <v>0</v>
      </c>
      <c r="BK109" s="149">
        <v>0</v>
      </c>
      <c r="BL109" s="149">
        <v>0</v>
      </c>
      <c r="BM109" s="149">
        <v>0</v>
      </c>
      <c r="BN109" s="149">
        <v>0</v>
      </c>
      <c r="BO109" s="149">
        <v>0</v>
      </c>
      <c r="BP109" s="149">
        <v>0</v>
      </c>
      <c r="BQ109" s="149">
        <v>0</v>
      </c>
      <c r="BR109" s="149">
        <v>10000</v>
      </c>
      <c r="BS109" s="149">
        <v>0</v>
      </c>
      <c r="BT109" s="149">
        <v>0</v>
      </c>
      <c r="BU109" s="149">
        <v>0</v>
      </c>
      <c r="BV109" s="149">
        <v>0</v>
      </c>
      <c r="BW109" s="149">
        <v>0</v>
      </c>
      <c r="BX109" s="149">
        <v>0</v>
      </c>
      <c r="BY109" s="149">
        <v>0</v>
      </c>
      <c r="BZ109" s="149">
        <v>0</v>
      </c>
    </row>
    <row r="110" spans="1:78">
      <c r="A110" s="149">
        <f t="shared" si="33"/>
        <v>20508</v>
      </c>
      <c r="B110" s="154">
        <f t="shared" si="34"/>
        <v>300016</v>
      </c>
      <c r="C110" s="128" t="e">
        <f>VLOOKUP(B110,Multilingual!A:B,2,FALSE)</f>
        <v>#N/A</v>
      </c>
      <c r="D110" s="154">
        <v>0</v>
      </c>
      <c r="E110" s="154">
        <v>0</v>
      </c>
      <c r="F110" s="154">
        <f t="shared" si="35"/>
        <v>20507</v>
      </c>
      <c r="G110" s="154">
        <v>8</v>
      </c>
      <c r="H110" s="154">
        <v>1</v>
      </c>
      <c r="I110" s="154">
        <v>1</v>
      </c>
      <c r="J110" s="154">
        <v>0</v>
      </c>
      <c r="K110" s="154">
        <v>0</v>
      </c>
      <c r="L110" s="154">
        <v>0</v>
      </c>
      <c r="M110" s="154">
        <v>0</v>
      </c>
      <c r="N110" s="136">
        <v>15000</v>
      </c>
      <c r="O110" s="136">
        <v>60</v>
      </c>
      <c r="P110" s="136"/>
      <c r="Q110" s="145" t="s">
        <v>640</v>
      </c>
      <c r="R110" s="136"/>
      <c r="S110" s="154">
        <v>510808</v>
      </c>
      <c r="T110" s="149">
        <v>7000</v>
      </c>
      <c r="U110" s="149">
        <v>0</v>
      </c>
      <c r="V110" s="149">
        <v>0</v>
      </c>
      <c r="W110" s="149">
        <v>0</v>
      </c>
      <c r="X110" s="149">
        <v>2</v>
      </c>
      <c r="Y110" s="149">
        <v>0</v>
      </c>
      <c r="Z110" s="149">
        <v>0</v>
      </c>
      <c r="AA110" s="149">
        <v>0</v>
      </c>
      <c r="AB110" s="149">
        <v>0</v>
      </c>
      <c r="AC110" s="149">
        <v>0</v>
      </c>
      <c r="AD110" s="149">
        <v>0</v>
      </c>
      <c r="AE110" s="149">
        <v>0</v>
      </c>
      <c r="AF110" s="149">
        <v>0</v>
      </c>
      <c r="AG110" s="149">
        <v>0</v>
      </c>
      <c r="AH110" s="149">
        <v>0</v>
      </c>
      <c r="AI110" s="149">
        <v>0</v>
      </c>
      <c r="AJ110" s="149">
        <v>0</v>
      </c>
      <c r="AK110" s="149">
        <v>0</v>
      </c>
      <c r="AL110" s="149">
        <v>0</v>
      </c>
      <c r="AM110" s="149">
        <v>0</v>
      </c>
      <c r="AN110" s="149">
        <v>0</v>
      </c>
      <c r="AO110" s="149">
        <v>0</v>
      </c>
      <c r="AP110" s="149">
        <v>0</v>
      </c>
      <c r="AQ110" s="149">
        <v>0</v>
      </c>
      <c r="AR110" s="149">
        <v>0</v>
      </c>
      <c r="AS110" s="149">
        <v>0</v>
      </c>
      <c r="AT110" s="149">
        <v>0</v>
      </c>
      <c r="AU110" s="149">
        <v>0</v>
      </c>
      <c r="AV110" s="149">
        <v>0</v>
      </c>
      <c r="AW110" s="149">
        <v>0</v>
      </c>
      <c r="AX110" s="149">
        <v>0</v>
      </c>
      <c r="AY110" s="149">
        <v>0</v>
      </c>
      <c r="AZ110" s="149">
        <v>0</v>
      </c>
      <c r="BA110" s="149">
        <v>0</v>
      </c>
      <c r="BB110" s="149">
        <v>0</v>
      </c>
      <c r="BC110" s="149">
        <v>0</v>
      </c>
      <c r="BD110" s="149">
        <v>0</v>
      </c>
      <c r="BE110" s="149">
        <v>0</v>
      </c>
      <c r="BF110" s="149">
        <v>0</v>
      </c>
      <c r="BG110" s="149">
        <v>0</v>
      </c>
      <c r="BH110" s="149">
        <v>0</v>
      </c>
      <c r="BI110" s="149">
        <v>0</v>
      </c>
      <c r="BJ110" s="149">
        <v>0</v>
      </c>
      <c r="BK110" s="149">
        <v>0</v>
      </c>
      <c r="BL110" s="149">
        <v>0</v>
      </c>
      <c r="BM110" s="149">
        <v>0</v>
      </c>
      <c r="BN110" s="149">
        <v>0</v>
      </c>
      <c r="BO110" s="149">
        <v>0</v>
      </c>
      <c r="BP110" s="149">
        <v>0</v>
      </c>
      <c r="BQ110" s="149">
        <v>0</v>
      </c>
      <c r="BR110" s="149">
        <v>10000</v>
      </c>
      <c r="BS110" s="149">
        <v>0</v>
      </c>
      <c r="BT110" s="149">
        <v>0</v>
      </c>
      <c r="BU110" s="149">
        <v>0</v>
      </c>
      <c r="BV110" s="149">
        <v>0</v>
      </c>
      <c r="BW110" s="149">
        <v>0</v>
      </c>
      <c r="BX110" s="149">
        <v>0</v>
      </c>
      <c r="BY110" s="149">
        <v>0</v>
      </c>
      <c r="BZ110" s="149">
        <v>0</v>
      </c>
    </row>
    <row r="111" spans="1:78">
      <c r="A111" s="149">
        <f t="shared" si="33"/>
        <v>20509</v>
      </c>
      <c r="B111" s="154">
        <f t="shared" si="34"/>
        <v>300016</v>
      </c>
      <c r="C111" s="128" t="e">
        <f>VLOOKUP(B111,Multilingual!A:B,2,FALSE)</f>
        <v>#N/A</v>
      </c>
      <c r="D111" s="154">
        <v>0</v>
      </c>
      <c r="E111" s="154">
        <v>0</v>
      </c>
      <c r="F111" s="154">
        <f t="shared" si="35"/>
        <v>20508</v>
      </c>
      <c r="G111" s="154">
        <v>8</v>
      </c>
      <c r="H111" s="154">
        <v>1</v>
      </c>
      <c r="I111" s="154">
        <v>1</v>
      </c>
      <c r="J111" s="154">
        <v>0</v>
      </c>
      <c r="K111" s="154">
        <v>0</v>
      </c>
      <c r="L111" s="154">
        <v>0</v>
      </c>
      <c r="M111" s="154">
        <v>0</v>
      </c>
      <c r="N111" s="136">
        <v>15000</v>
      </c>
      <c r="O111" s="136">
        <v>60</v>
      </c>
      <c r="P111" s="136"/>
      <c r="Q111" s="145" t="s">
        <v>640</v>
      </c>
      <c r="R111" s="136"/>
      <c r="S111" s="154">
        <v>510809</v>
      </c>
      <c r="T111" s="149">
        <v>7000</v>
      </c>
      <c r="U111" s="149">
        <v>0</v>
      </c>
      <c r="V111" s="149">
        <v>0</v>
      </c>
      <c r="W111" s="149">
        <v>0</v>
      </c>
      <c r="X111" s="149">
        <v>2</v>
      </c>
      <c r="Y111" s="149">
        <v>0</v>
      </c>
      <c r="Z111" s="149">
        <v>0</v>
      </c>
      <c r="AA111" s="149">
        <v>0</v>
      </c>
      <c r="AB111" s="149">
        <v>0</v>
      </c>
      <c r="AC111" s="149">
        <v>0</v>
      </c>
      <c r="AD111" s="149">
        <v>0</v>
      </c>
      <c r="AE111" s="149">
        <v>0</v>
      </c>
      <c r="AF111" s="149">
        <v>0</v>
      </c>
      <c r="AG111" s="149">
        <v>0</v>
      </c>
      <c r="AH111" s="149">
        <v>0</v>
      </c>
      <c r="AI111" s="149">
        <v>0</v>
      </c>
      <c r="AJ111" s="149">
        <v>0</v>
      </c>
      <c r="AK111" s="149">
        <v>0</v>
      </c>
      <c r="AL111" s="149">
        <v>0</v>
      </c>
      <c r="AM111" s="149">
        <v>0</v>
      </c>
      <c r="AN111" s="149">
        <v>0</v>
      </c>
      <c r="AO111" s="149">
        <v>0</v>
      </c>
      <c r="AP111" s="149">
        <v>0</v>
      </c>
      <c r="AQ111" s="149">
        <v>0</v>
      </c>
      <c r="AR111" s="149">
        <v>0</v>
      </c>
      <c r="AS111" s="149">
        <v>0</v>
      </c>
      <c r="AT111" s="149">
        <v>0</v>
      </c>
      <c r="AU111" s="149">
        <v>0</v>
      </c>
      <c r="AV111" s="149">
        <v>0</v>
      </c>
      <c r="AW111" s="149">
        <v>0</v>
      </c>
      <c r="AX111" s="149">
        <v>0</v>
      </c>
      <c r="AY111" s="149">
        <v>0</v>
      </c>
      <c r="AZ111" s="149">
        <v>0</v>
      </c>
      <c r="BA111" s="149">
        <v>0</v>
      </c>
      <c r="BB111" s="149">
        <v>0</v>
      </c>
      <c r="BC111" s="149">
        <v>0</v>
      </c>
      <c r="BD111" s="149">
        <v>0</v>
      </c>
      <c r="BE111" s="149">
        <v>0</v>
      </c>
      <c r="BF111" s="149">
        <v>0</v>
      </c>
      <c r="BG111" s="149">
        <v>0</v>
      </c>
      <c r="BH111" s="149">
        <v>0</v>
      </c>
      <c r="BI111" s="149">
        <v>0</v>
      </c>
      <c r="BJ111" s="149">
        <v>0</v>
      </c>
      <c r="BK111" s="149">
        <v>0</v>
      </c>
      <c r="BL111" s="149">
        <v>0</v>
      </c>
      <c r="BM111" s="149">
        <v>0</v>
      </c>
      <c r="BN111" s="149">
        <v>0</v>
      </c>
      <c r="BO111" s="149">
        <v>0</v>
      </c>
      <c r="BP111" s="149">
        <v>0</v>
      </c>
      <c r="BQ111" s="149">
        <v>0</v>
      </c>
      <c r="BR111" s="149">
        <v>10000</v>
      </c>
      <c r="BS111" s="149">
        <v>0</v>
      </c>
      <c r="BT111" s="149">
        <v>0</v>
      </c>
      <c r="BU111" s="149">
        <v>0</v>
      </c>
      <c r="BV111" s="149">
        <v>0</v>
      </c>
      <c r="BW111" s="149">
        <v>0</v>
      </c>
      <c r="BX111" s="149">
        <v>0</v>
      </c>
      <c r="BY111" s="149">
        <v>0</v>
      </c>
      <c r="BZ111" s="149">
        <v>0</v>
      </c>
    </row>
    <row r="112" spans="1:78">
      <c r="A112" s="149">
        <f t="shared" si="33"/>
        <v>20510</v>
      </c>
      <c r="B112" s="154">
        <f t="shared" si="34"/>
        <v>300016</v>
      </c>
      <c r="C112" s="128" t="e">
        <f>VLOOKUP(B112,Multilingual!A:B,2,FALSE)</f>
        <v>#N/A</v>
      </c>
      <c r="D112" s="154">
        <v>0</v>
      </c>
      <c r="E112" s="154">
        <v>0</v>
      </c>
      <c r="F112" s="154">
        <f t="shared" si="35"/>
        <v>20509</v>
      </c>
      <c r="G112" s="154">
        <v>8</v>
      </c>
      <c r="H112" s="154">
        <v>1</v>
      </c>
      <c r="I112" s="154">
        <v>1</v>
      </c>
      <c r="J112" s="154">
        <v>0</v>
      </c>
      <c r="K112" s="154">
        <v>0</v>
      </c>
      <c r="L112" s="154">
        <v>0</v>
      </c>
      <c r="M112" s="154">
        <v>0</v>
      </c>
      <c r="N112" s="136">
        <v>15000</v>
      </c>
      <c r="O112" s="136">
        <v>60</v>
      </c>
      <c r="P112" s="136"/>
      <c r="Q112" s="145" t="s">
        <v>640</v>
      </c>
      <c r="R112" s="136"/>
      <c r="S112" s="154">
        <v>510810</v>
      </c>
      <c r="T112" s="149">
        <v>7000</v>
      </c>
      <c r="U112" s="149">
        <v>0</v>
      </c>
      <c r="V112" s="149">
        <v>0</v>
      </c>
      <c r="W112" s="149">
        <v>0</v>
      </c>
      <c r="X112" s="149">
        <v>2</v>
      </c>
      <c r="Y112" s="149">
        <v>0</v>
      </c>
      <c r="Z112" s="149">
        <v>0</v>
      </c>
      <c r="AA112" s="149">
        <v>0</v>
      </c>
      <c r="AB112" s="149">
        <v>0</v>
      </c>
      <c r="AC112" s="149">
        <v>0</v>
      </c>
      <c r="AD112" s="149">
        <v>0</v>
      </c>
      <c r="AE112" s="149">
        <v>0</v>
      </c>
      <c r="AF112" s="149">
        <v>0</v>
      </c>
      <c r="AG112" s="149">
        <v>0</v>
      </c>
      <c r="AH112" s="149">
        <v>0</v>
      </c>
      <c r="AI112" s="149">
        <v>0</v>
      </c>
      <c r="AJ112" s="149">
        <v>0</v>
      </c>
      <c r="AK112" s="149">
        <v>0</v>
      </c>
      <c r="AL112" s="149">
        <v>0</v>
      </c>
      <c r="AM112" s="149">
        <v>0</v>
      </c>
      <c r="AN112" s="149">
        <v>0</v>
      </c>
      <c r="AO112" s="149">
        <v>0</v>
      </c>
      <c r="AP112" s="149">
        <v>0</v>
      </c>
      <c r="AQ112" s="149">
        <v>0</v>
      </c>
      <c r="AR112" s="149">
        <v>0</v>
      </c>
      <c r="AS112" s="149">
        <v>0</v>
      </c>
      <c r="AT112" s="149">
        <v>0</v>
      </c>
      <c r="AU112" s="149">
        <v>0</v>
      </c>
      <c r="AV112" s="149">
        <v>0</v>
      </c>
      <c r="AW112" s="149">
        <v>0</v>
      </c>
      <c r="AX112" s="149">
        <v>0</v>
      </c>
      <c r="AY112" s="149">
        <v>0</v>
      </c>
      <c r="AZ112" s="149">
        <v>0</v>
      </c>
      <c r="BA112" s="149">
        <v>0</v>
      </c>
      <c r="BB112" s="149">
        <v>0</v>
      </c>
      <c r="BC112" s="149">
        <v>0</v>
      </c>
      <c r="BD112" s="149">
        <v>0</v>
      </c>
      <c r="BE112" s="149">
        <v>0</v>
      </c>
      <c r="BF112" s="149">
        <v>0</v>
      </c>
      <c r="BG112" s="149">
        <v>0</v>
      </c>
      <c r="BH112" s="149">
        <v>0</v>
      </c>
      <c r="BI112" s="149">
        <v>0</v>
      </c>
      <c r="BJ112" s="149">
        <v>0</v>
      </c>
      <c r="BK112" s="149">
        <v>0</v>
      </c>
      <c r="BL112" s="149">
        <v>0</v>
      </c>
      <c r="BM112" s="149">
        <v>0</v>
      </c>
      <c r="BN112" s="149">
        <v>0</v>
      </c>
      <c r="BO112" s="149">
        <v>0</v>
      </c>
      <c r="BP112" s="149">
        <v>0</v>
      </c>
      <c r="BQ112" s="149">
        <v>0</v>
      </c>
      <c r="BR112" s="149">
        <v>10000</v>
      </c>
      <c r="BS112" s="149">
        <v>0</v>
      </c>
      <c r="BT112" s="149">
        <v>0</v>
      </c>
      <c r="BU112" s="149">
        <v>0</v>
      </c>
      <c r="BV112" s="149">
        <v>0</v>
      </c>
      <c r="BW112" s="149">
        <v>0</v>
      </c>
      <c r="BX112" s="149">
        <v>0</v>
      </c>
      <c r="BY112" s="149">
        <v>0</v>
      </c>
      <c r="BZ112" s="149">
        <v>0</v>
      </c>
    </row>
    <row r="113" spans="1:78">
      <c r="A113" s="149">
        <f>A103+100</f>
        <v>20601</v>
      </c>
      <c r="B113" s="154">
        <f>B112+1</f>
        <v>300017</v>
      </c>
      <c r="C113" s="128" t="e">
        <f>VLOOKUP(B113,Multilingual!A:B,2,FALSE)</f>
        <v>#N/A</v>
      </c>
      <c r="D113" s="154">
        <v>0</v>
      </c>
      <c r="E113" s="154">
        <v>0</v>
      </c>
      <c r="F113" s="154">
        <v>0</v>
      </c>
      <c r="G113" s="154">
        <v>3</v>
      </c>
      <c r="H113" s="154">
        <v>1</v>
      </c>
      <c r="I113" s="154">
        <v>1</v>
      </c>
      <c r="J113" s="154">
        <v>0</v>
      </c>
      <c r="K113" s="154">
        <v>0</v>
      </c>
      <c r="L113" s="154">
        <v>0</v>
      </c>
      <c r="M113" s="154">
        <v>0</v>
      </c>
      <c r="N113" s="136">
        <v>30000</v>
      </c>
      <c r="O113" s="136">
        <v>75</v>
      </c>
      <c r="P113" s="144" t="s">
        <v>641</v>
      </c>
      <c r="Q113" s="136" t="s">
        <v>637</v>
      </c>
      <c r="R113" s="136"/>
      <c r="S113" s="154">
        <v>510901</v>
      </c>
      <c r="T113" s="149">
        <v>0</v>
      </c>
      <c r="U113" s="149">
        <v>0</v>
      </c>
      <c r="V113" s="149">
        <v>0</v>
      </c>
      <c r="W113" s="149">
        <v>0</v>
      </c>
      <c r="X113" s="149">
        <v>12</v>
      </c>
      <c r="Y113" s="149">
        <v>0</v>
      </c>
      <c r="Z113" s="149">
        <v>0</v>
      </c>
      <c r="AA113" s="149">
        <v>0</v>
      </c>
      <c r="AB113" s="149">
        <v>0</v>
      </c>
      <c r="AC113" s="149">
        <v>0</v>
      </c>
      <c r="AD113" s="149">
        <v>0</v>
      </c>
      <c r="AE113" s="149">
        <v>0</v>
      </c>
      <c r="AF113" s="149">
        <v>0</v>
      </c>
      <c r="AG113" s="149">
        <v>0</v>
      </c>
      <c r="AH113" s="149">
        <v>0</v>
      </c>
      <c r="AI113" s="149">
        <v>0</v>
      </c>
      <c r="AJ113" s="149">
        <v>0</v>
      </c>
      <c r="AK113" s="149">
        <f t="shared" ref="AK113:AK115" si="36">AK114-2500</f>
        <v>55000</v>
      </c>
      <c r="AL113" s="149">
        <v>0</v>
      </c>
      <c r="AM113" s="149">
        <v>0</v>
      </c>
      <c r="AN113" s="149">
        <v>0</v>
      </c>
      <c r="AO113" s="149">
        <v>0</v>
      </c>
      <c r="AP113" s="149">
        <v>0</v>
      </c>
      <c r="AQ113" s="149">
        <v>0</v>
      </c>
      <c r="AR113" s="149">
        <v>0</v>
      </c>
      <c r="AS113" s="149">
        <v>0</v>
      </c>
      <c r="AT113" s="149">
        <v>0</v>
      </c>
      <c r="AU113" s="149">
        <v>0</v>
      </c>
      <c r="AV113" s="149">
        <v>0</v>
      </c>
      <c r="AW113" s="149">
        <v>0</v>
      </c>
      <c r="AX113" s="149">
        <v>0</v>
      </c>
      <c r="AY113" s="149">
        <v>0</v>
      </c>
      <c r="AZ113" s="149">
        <v>0</v>
      </c>
      <c r="BA113" s="149">
        <v>0</v>
      </c>
      <c r="BB113" s="149">
        <v>0</v>
      </c>
      <c r="BC113" s="149">
        <v>0</v>
      </c>
      <c r="BD113" s="149">
        <v>0</v>
      </c>
      <c r="BE113" s="149">
        <v>0</v>
      </c>
      <c r="BF113" s="149">
        <v>0</v>
      </c>
      <c r="BG113" s="149">
        <v>0</v>
      </c>
      <c r="BH113" s="149">
        <v>0</v>
      </c>
      <c r="BI113" s="149">
        <v>0</v>
      </c>
      <c r="BJ113" s="149">
        <v>0</v>
      </c>
      <c r="BK113" s="149">
        <v>0</v>
      </c>
      <c r="BL113" s="149">
        <v>0</v>
      </c>
      <c r="BM113" s="149">
        <v>0</v>
      </c>
      <c r="BN113" s="149">
        <v>0</v>
      </c>
      <c r="BO113" s="149">
        <v>0</v>
      </c>
      <c r="BP113" s="149">
        <v>0</v>
      </c>
      <c r="BQ113" s="149">
        <v>0</v>
      </c>
      <c r="BR113" s="149">
        <v>0</v>
      </c>
      <c r="BS113" s="149">
        <v>0</v>
      </c>
      <c r="BT113" s="149">
        <v>0</v>
      </c>
      <c r="BU113" s="149">
        <v>0</v>
      </c>
      <c r="BV113" s="149">
        <v>0</v>
      </c>
      <c r="BW113" s="149">
        <v>0</v>
      </c>
      <c r="BX113" s="149">
        <v>0</v>
      </c>
      <c r="BY113" s="149">
        <v>0</v>
      </c>
      <c r="BZ113" s="149">
        <v>0</v>
      </c>
    </row>
    <row r="114" spans="1:78">
      <c r="A114" s="149">
        <f>A113+1</f>
        <v>20602</v>
      </c>
      <c r="B114" s="154">
        <f>B113</f>
        <v>300017</v>
      </c>
      <c r="C114" s="128" t="e">
        <f>VLOOKUP(B114,Multilingual!A:B,2,FALSE)</f>
        <v>#N/A</v>
      </c>
      <c r="D114" s="154">
        <v>0</v>
      </c>
      <c r="E114" s="154">
        <v>0</v>
      </c>
      <c r="F114" s="154">
        <f>F104+100</f>
        <v>20601</v>
      </c>
      <c r="G114" s="154">
        <v>3</v>
      </c>
      <c r="H114" s="154">
        <v>1</v>
      </c>
      <c r="I114" s="154">
        <v>1</v>
      </c>
      <c r="J114" s="154">
        <v>0</v>
      </c>
      <c r="K114" s="154">
        <v>0</v>
      </c>
      <c r="L114" s="154">
        <v>0</v>
      </c>
      <c r="M114" s="154">
        <v>0</v>
      </c>
      <c r="N114" s="136">
        <v>30000</v>
      </c>
      <c r="O114" s="136">
        <v>75</v>
      </c>
      <c r="P114" s="144" t="s">
        <v>641</v>
      </c>
      <c r="Q114" s="136" t="s">
        <v>637</v>
      </c>
      <c r="R114" s="136"/>
      <c r="S114" s="154">
        <v>510902</v>
      </c>
      <c r="T114" s="149">
        <v>0</v>
      </c>
      <c r="U114" s="149">
        <v>0</v>
      </c>
      <c r="V114" s="149">
        <v>0</v>
      </c>
      <c r="W114" s="149">
        <v>0</v>
      </c>
      <c r="X114" s="149">
        <v>12</v>
      </c>
      <c r="Y114" s="149">
        <v>0</v>
      </c>
      <c r="Z114" s="149">
        <v>0</v>
      </c>
      <c r="AA114" s="149">
        <v>0</v>
      </c>
      <c r="AB114" s="149">
        <v>0</v>
      </c>
      <c r="AC114" s="149">
        <v>0</v>
      </c>
      <c r="AD114" s="149">
        <v>0</v>
      </c>
      <c r="AE114" s="149">
        <v>0</v>
      </c>
      <c r="AF114" s="149">
        <v>0</v>
      </c>
      <c r="AG114" s="149">
        <v>0</v>
      </c>
      <c r="AH114" s="149">
        <v>0</v>
      </c>
      <c r="AI114" s="149">
        <v>0</v>
      </c>
      <c r="AJ114" s="149">
        <v>0</v>
      </c>
      <c r="AK114" s="149">
        <f t="shared" si="36"/>
        <v>57500</v>
      </c>
      <c r="AL114" s="149">
        <v>0</v>
      </c>
      <c r="AM114" s="149">
        <v>0</v>
      </c>
      <c r="AN114" s="149">
        <v>0</v>
      </c>
      <c r="AO114" s="149">
        <v>0</v>
      </c>
      <c r="AP114" s="149">
        <v>0</v>
      </c>
      <c r="AQ114" s="149">
        <v>0</v>
      </c>
      <c r="AR114" s="149">
        <v>0</v>
      </c>
      <c r="AS114" s="149">
        <v>0</v>
      </c>
      <c r="AT114" s="149">
        <v>0</v>
      </c>
      <c r="AU114" s="149">
        <v>0</v>
      </c>
      <c r="AV114" s="149">
        <v>0</v>
      </c>
      <c r="AW114" s="149">
        <v>0</v>
      </c>
      <c r="AX114" s="149">
        <v>0</v>
      </c>
      <c r="AY114" s="149">
        <v>0</v>
      </c>
      <c r="AZ114" s="149">
        <v>0</v>
      </c>
      <c r="BA114" s="149">
        <v>0</v>
      </c>
      <c r="BB114" s="149">
        <v>0</v>
      </c>
      <c r="BC114" s="149">
        <v>0</v>
      </c>
      <c r="BD114" s="149">
        <v>0</v>
      </c>
      <c r="BE114" s="149">
        <v>0</v>
      </c>
      <c r="BF114" s="149">
        <v>0</v>
      </c>
      <c r="BG114" s="149">
        <v>0</v>
      </c>
      <c r="BH114" s="149">
        <v>0</v>
      </c>
      <c r="BI114" s="149">
        <v>0</v>
      </c>
      <c r="BJ114" s="149">
        <v>0</v>
      </c>
      <c r="BK114" s="149">
        <v>0</v>
      </c>
      <c r="BL114" s="149">
        <v>0</v>
      </c>
      <c r="BM114" s="149">
        <v>0</v>
      </c>
      <c r="BN114" s="149">
        <v>0</v>
      </c>
      <c r="BO114" s="149">
        <v>0</v>
      </c>
      <c r="BP114" s="149">
        <v>0</v>
      </c>
      <c r="BQ114" s="149">
        <v>0</v>
      </c>
      <c r="BR114" s="149">
        <v>0</v>
      </c>
      <c r="BS114" s="149">
        <v>0</v>
      </c>
      <c r="BT114" s="149">
        <v>0</v>
      </c>
      <c r="BU114" s="149">
        <v>0</v>
      </c>
      <c r="BV114" s="149">
        <v>0</v>
      </c>
      <c r="BW114" s="149">
        <v>0</v>
      </c>
      <c r="BX114" s="149">
        <v>0</v>
      </c>
      <c r="BY114" s="149">
        <v>0</v>
      </c>
      <c r="BZ114" s="149">
        <v>0</v>
      </c>
    </row>
    <row r="115" spans="1:78">
      <c r="A115" s="149">
        <f t="shared" ref="A115:A122" si="37">A114+1</f>
        <v>20603</v>
      </c>
      <c r="B115" s="154">
        <f t="shared" ref="B115:B122" si="38">B114</f>
        <v>300017</v>
      </c>
      <c r="C115" s="128" t="e">
        <f>VLOOKUP(B115,Multilingual!A:B,2,FALSE)</f>
        <v>#N/A</v>
      </c>
      <c r="D115" s="154">
        <v>0</v>
      </c>
      <c r="E115" s="154">
        <v>0</v>
      </c>
      <c r="F115" s="154">
        <f>F114+1</f>
        <v>20602</v>
      </c>
      <c r="G115" s="154">
        <v>3</v>
      </c>
      <c r="H115" s="154">
        <v>1</v>
      </c>
      <c r="I115" s="154">
        <v>1</v>
      </c>
      <c r="J115" s="154">
        <v>0</v>
      </c>
      <c r="K115" s="154">
        <v>0</v>
      </c>
      <c r="L115" s="154">
        <v>0</v>
      </c>
      <c r="M115" s="154">
        <v>0</v>
      </c>
      <c r="N115" s="136">
        <v>30000</v>
      </c>
      <c r="O115" s="136">
        <v>75</v>
      </c>
      <c r="P115" s="144" t="s">
        <v>641</v>
      </c>
      <c r="Q115" s="136" t="s">
        <v>637</v>
      </c>
      <c r="R115" s="136"/>
      <c r="S115" s="154">
        <v>510903</v>
      </c>
      <c r="T115" s="149">
        <v>0</v>
      </c>
      <c r="U115" s="149">
        <v>0</v>
      </c>
      <c r="V115" s="149">
        <v>0</v>
      </c>
      <c r="W115" s="149">
        <v>0</v>
      </c>
      <c r="X115" s="149">
        <v>12</v>
      </c>
      <c r="Y115" s="149">
        <v>0</v>
      </c>
      <c r="Z115" s="149">
        <v>0</v>
      </c>
      <c r="AA115" s="149">
        <v>0</v>
      </c>
      <c r="AB115" s="149">
        <v>0</v>
      </c>
      <c r="AC115" s="149">
        <v>0</v>
      </c>
      <c r="AD115" s="149">
        <v>0</v>
      </c>
      <c r="AE115" s="149">
        <v>0</v>
      </c>
      <c r="AF115" s="149">
        <v>0</v>
      </c>
      <c r="AG115" s="149">
        <v>0</v>
      </c>
      <c r="AH115" s="149">
        <v>0</v>
      </c>
      <c r="AI115" s="149">
        <v>0</v>
      </c>
      <c r="AJ115" s="149">
        <v>0</v>
      </c>
      <c r="AK115" s="149">
        <f t="shared" si="36"/>
        <v>60000</v>
      </c>
      <c r="AL115" s="149">
        <v>0</v>
      </c>
      <c r="AM115" s="149">
        <v>0</v>
      </c>
      <c r="AN115" s="149">
        <v>0</v>
      </c>
      <c r="AO115" s="149">
        <v>0</v>
      </c>
      <c r="AP115" s="149">
        <v>0</v>
      </c>
      <c r="AQ115" s="149">
        <v>0</v>
      </c>
      <c r="AR115" s="149">
        <v>0</v>
      </c>
      <c r="AS115" s="149">
        <v>0</v>
      </c>
      <c r="AT115" s="149">
        <v>0</v>
      </c>
      <c r="AU115" s="149">
        <v>0</v>
      </c>
      <c r="AV115" s="149">
        <v>0</v>
      </c>
      <c r="AW115" s="149">
        <v>0</v>
      </c>
      <c r="AX115" s="149">
        <v>0</v>
      </c>
      <c r="AY115" s="149">
        <v>0</v>
      </c>
      <c r="AZ115" s="149">
        <v>0</v>
      </c>
      <c r="BA115" s="149">
        <v>0</v>
      </c>
      <c r="BB115" s="149">
        <v>0</v>
      </c>
      <c r="BC115" s="149">
        <v>0</v>
      </c>
      <c r="BD115" s="149">
        <v>0</v>
      </c>
      <c r="BE115" s="149">
        <v>0</v>
      </c>
      <c r="BF115" s="149">
        <v>0</v>
      </c>
      <c r="BG115" s="149">
        <v>0</v>
      </c>
      <c r="BH115" s="149">
        <v>0</v>
      </c>
      <c r="BI115" s="149">
        <v>0</v>
      </c>
      <c r="BJ115" s="149">
        <v>0</v>
      </c>
      <c r="BK115" s="149">
        <v>0</v>
      </c>
      <c r="BL115" s="149">
        <v>0</v>
      </c>
      <c r="BM115" s="149">
        <v>0</v>
      </c>
      <c r="BN115" s="149">
        <v>0</v>
      </c>
      <c r="BO115" s="149">
        <v>0</v>
      </c>
      <c r="BP115" s="149">
        <v>0</v>
      </c>
      <c r="BQ115" s="149">
        <v>0</v>
      </c>
      <c r="BR115" s="149">
        <v>0</v>
      </c>
      <c r="BS115" s="149">
        <v>0</v>
      </c>
      <c r="BT115" s="149">
        <v>0</v>
      </c>
      <c r="BU115" s="149">
        <v>0</v>
      </c>
      <c r="BV115" s="149">
        <v>0</v>
      </c>
      <c r="BW115" s="149">
        <v>0</v>
      </c>
      <c r="BX115" s="149">
        <v>0</v>
      </c>
      <c r="BY115" s="149">
        <v>0</v>
      </c>
      <c r="BZ115" s="149">
        <v>0</v>
      </c>
    </row>
    <row r="116" spans="1:78">
      <c r="A116" s="149">
        <f t="shared" si="37"/>
        <v>20604</v>
      </c>
      <c r="B116" s="154">
        <f t="shared" si="38"/>
        <v>300017</v>
      </c>
      <c r="C116" s="128" t="e">
        <f>VLOOKUP(B116,Multilingual!A:B,2,FALSE)</f>
        <v>#N/A</v>
      </c>
      <c r="D116" s="154">
        <v>0</v>
      </c>
      <c r="E116" s="154">
        <v>0</v>
      </c>
      <c r="F116" s="154">
        <f t="shared" ref="F116:F122" si="39">F115+1</f>
        <v>20603</v>
      </c>
      <c r="G116" s="154">
        <v>3</v>
      </c>
      <c r="H116" s="154">
        <v>1</v>
      </c>
      <c r="I116" s="154">
        <v>1</v>
      </c>
      <c r="J116" s="154">
        <v>0</v>
      </c>
      <c r="K116" s="154">
        <v>0</v>
      </c>
      <c r="L116" s="154">
        <v>0</v>
      </c>
      <c r="M116" s="154">
        <v>0</v>
      </c>
      <c r="N116" s="136">
        <v>30000</v>
      </c>
      <c r="O116" s="136">
        <v>75</v>
      </c>
      <c r="P116" s="144" t="s">
        <v>641</v>
      </c>
      <c r="Q116" s="136" t="s">
        <v>637</v>
      </c>
      <c r="R116" s="136"/>
      <c r="S116" s="154">
        <v>510904</v>
      </c>
      <c r="T116" s="149">
        <v>0</v>
      </c>
      <c r="U116" s="149">
        <v>0</v>
      </c>
      <c r="V116" s="149">
        <v>0</v>
      </c>
      <c r="W116" s="149">
        <v>0</v>
      </c>
      <c r="X116" s="149">
        <v>12</v>
      </c>
      <c r="Y116" s="149">
        <v>0</v>
      </c>
      <c r="Z116" s="149">
        <v>0</v>
      </c>
      <c r="AA116" s="149">
        <v>0</v>
      </c>
      <c r="AB116" s="149">
        <v>0</v>
      </c>
      <c r="AC116" s="149">
        <v>0</v>
      </c>
      <c r="AD116" s="149">
        <v>0</v>
      </c>
      <c r="AE116" s="149">
        <v>0</v>
      </c>
      <c r="AF116" s="149">
        <v>0</v>
      </c>
      <c r="AG116" s="149">
        <v>0</v>
      </c>
      <c r="AH116" s="149">
        <v>0</v>
      </c>
      <c r="AI116" s="149">
        <v>0</v>
      </c>
      <c r="AJ116" s="149">
        <v>0</v>
      </c>
      <c r="AK116" s="149">
        <f>AK117-2500</f>
        <v>62500</v>
      </c>
      <c r="AL116" s="149">
        <v>0</v>
      </c>
      <c r="AM116" s="149">
        <v>0</v>
      </c>
      <c r="AN116" s="149">
        <v>0</v>
      </c>
      <c r="AO116" s="149">
        <v>0</v>
      </c>
      <c r="AP116" s="149">
        <v>0</v>
      </c>
      <c r="AQ116" s="149">
        <v>0</v>
      </c>
      <c r="AR116" s="149">
        <v>0</v>
      </c>
      <c r="AS116" s="149">
        <v>0</v>
      </c>
      <c r="AT116" s="149">
        <v>0</v>
      </c>
      <c r="AU116" s="149">
        <v>0</v>
      </c>
      <c r="AV116" s="149">
        <v>0</v>
      </c>
      <c r="AW116" s="149">
        <v>0</v>
      </c>
      <c r="AX116" s="149">
        <v>0</v>
      </c>
      <c r="AY116" s="149">
        <v>0</v>
      </c>
      <c r="AZ116" s="149">
        <v>0</v>
      </c>
      <c r="BA116" s="149">
        <v>0</v>
      </c>
      <c r="BB116" s="149">
        <v>0</v>
      </c>
      <c r="BC116" s="149">
        <v>0</v>
      </c>
      <c r="BD116" s="149">
        <v>0</v>
      </c>
      <c r="BE116" s="149">
        <v>0</v>
      </c>
      <c r="BF116" s="149">
        <v>0</v>
      </c>
      <c r="BG116" s="149">
        <v>0</v>
      </c>
      <c r="BH116" s="149">
        <v>0</v>
      </c>
      <c r="BI116" s="149">
        <v>0</v>
      </c>
      <c r="BJ116" s="149">
        <v>0</v>
      </c>
      <c r="BK116" s="149">
        <v>0</v>
      </c>
      <c r="BL116" s="149">
        <v>0</v>
      </c>
      <c r="BM116" s="149">
        <v>0</v>
      </c>
      <c r="BN116" s="149">
        <v>0</v>
      </c>
      <c r="BO116" s="149">
        <v>0</v>
      </c>
      <c r="BP116" s="149">
        <v>0</v>
      </c>
      <c r="BQ116" s="149">
        <v>0</v>
      </c>
      <c r="BR116" s="149">
        <v>0</v>
      </c>
      <c r="BS116" s="149">
        <v>0</v>
      </c>
      <c r="BT116" s="149">
        <v>0</v>
      </c>
      <c r="BU116" s="149">
        <v>0</v>
      </c>
      <c r="BV116" s="149">
        <v>0</v>
      </c>
      <c r="BW116" s="149">
        <v>0</v>
      </c>
      <c r="BX116" s="149">
        <v>0</v>
      </c>
      <c r="BY116" s="149">
        <v>0</v>
      </c>
      <c r="BZ116" s="149">
        <v>0</v>
      </c>
    </row>
    <row r="117" spans="1:78">
      <c r="A117" s="149">
        <f t="shared" si="37"/>
        <v>20605</v>
      </c>
      <c r="B117" s="154">
        <f t="shared" si="38"/>
        <v>300017</v>
      </c>
      <c r="C117" s="128" t="e">
        <f>VLOOKUP(B117,Multilingual!A:B,2,FALSE)</f>
        <v>#N/A</v>
      </c>
      <c r="D117" s="154">
        <v>0</v>
      </c>
      <c r="E117" s="154">
        <v>0</v>
      </c>
      <c r="F117" s="154">
        <f t="shared" si="39"/>
        <v>20604</v>
      </c>
      <c r="G117" s="154">
        <v>3</v>
      </c>
      <c r="H117" s="154">
        <v>1</v>
      </c>
      <c r="I117" s="154">
        <v>1</v>
      </c>
      <c r="J117" s="154">
        <v>0</v>
      </c>
      <c r="K117" s="154">
        <v>0</v>
      </c>
      <c r="L117" s="154">
        <v>0</v>
      </c>
      <c r="M117" s="154">
        <v>0</v>
      </c>
      <c r="N117" s="136">
        <v>30000</v>
      </c>
      <c r="O117" s="136">
        <v>75</v>
      </c>
      <c r="P117" s="144" t="s">
        <v>641</v>
      </c>
      <c r="Q117" s="136" t="s">
        <v>637</v>
      </c>
      <c r="R117" s="136"/>
      <c r="S117" s="154">
        <v>510905</v>
      </c>
      <c r="T117" s="149">
        <v>0</v>
      </c>
      <c r="U117" s="149">
        <v>0</v>
      </c>
      <c r="V117" s="149">
        <v>0</v>
      </c>
      <c r="W117" s="149">
        <v>0</v>
      </c>
      <c r="X117" s="149">
        <v>12</v>
      </c>
      <c r="Y117" s="149">
        <v>0</v>
      </c>
      <c r="Z117" s="149">
        <v>0</v>
      </c>
      <c r="AA117" s="149">
        <v>0</v>
      </c>
      <c r="AB117" s="149">
        <v>0</v>
      </c>
      <c r="AC117" s="149">
        <v>0</v>
      </c>
      <c r="AD117" s="149">
        <v>0</v>
      </c>
      <c r="AE117" s="149">
        <v>0</v>
      </c>
      <c r="AF117" s="149">
        <v>0</v>
      </c>
      <c r="AG117" s="149">
        <v>0</v>
      </c>
      <c r="AH117" s="149">
        <v>0</v>
      </c>
      <c r="AI117" s="149">
        <v>0</v>
      </c>
      <c r="AJ117" s="149">
        <v>0</v>
      </c>
      <c r="AK117" s="149">
        <v>65000</v>
      </c>
      <c r="AL117" s="149">
        <v>0</v>
      </c>
      <c r="AM117" s="149">
        <v>0</v>
      </c>
      <c r="AN117" s="149">
        <v>0</v>
      </c>
      <c r="AO117" s="149">
        <v>0</v>
      </c>
      <c r="AP117" s="149">
        <v>0</v>
      </c>
      <c r="AQ117" s="149">
        <v>0</v>
      </c>
      <c r="AR117" s="149">
        <v>0</v>
      </c>
      <c r="AS117" s="149">
        <v>0</v>
      </c>
      <c r="AT117" s="149">
        <v>0</v>
      </c>
      <c r="AU117" s="149">
        <v>0</v>
      </c>
      <c r="AV117" s="149">
        <v>0</v>
      </c>
      <c r="AW117" s="149">
        <v>0</v>
      </c>
      <c r="AX117" s="149">
        <v>0</v>
      </c>
      <c r="AY117" s="149">
        <v>0</v>
      </c>
      <c r="AZ117" s="149">
        <v>0</v>
      </c>
      <c r="BA117" s="149">
        <v>0</v>
      </c>
      <c r="BB117" s="149">
        <v>0</v>
      </c>
      <c r="BC117" s="149">
        <v>0</v>
      </c>
      <c r="BD117" s="149">
        <v>0</v>
      </c>
      <c r="BE117" s="149">
        <v>0</v>
      </c>
      <c r="BF117" s="149">
        <v>0</v>
      </c>
      <c r="BG117" s="149">
        <v>0</v>
      </c>
      <c r="BH117" s="149">
        <v>0</v>
      </c>
      <c r="BI117" s="149">
        <v>0</v>
      </c>
      <c r="BJ117" s="149">
        <v>0</v>
      </c>
      <c r="BK117" s="149">
        <v>0</v>
      </c>
      <c r="BL117" s="149">
        <v>0</v>
      </c>
      <c r="BM117" s="149">
        <v>0</v>
      </c>
      <c r="BN117" s="149">
        <v>0</v>
      </c>
      <c r="BO117" s="149">
        <v>0</v>
      </c>
      <c r="BP117" s="149">
        <v>0</v>
      </c>
      <c r="BQ117" s="149">
        <v>0</v>
      </c>
      <c r="BR117" s="149">
        <v>0</v>
      </c>
      <c r="BS117" s="149">
        <v>0</v>
      </c>
      <c r="BT117" s="149">
        <v>0</v>
      </c>
      <c r="BU117" s="149">
        <v>0</v>
      </c>
      <c r="BV117" s="149">
        <v>0</v>
      </c>
      <c r="BW117" s="149">
        <v>0</v>
      </c>
      <c r="BX117" s="149">
        <v>0</v>
      </c>
      <c r="BY117" s="149">
        <v>0</v>
      </c>
      <c r="BZ117" s="149">
        <v>0</v>
      </c>
    </row>
    <row r="118" spans="1:78">
      <c r="A118" s="149">
        <f t="shared" si="37"/>
        <v>20606</v>
      </c>
      <c r="B118" s="154">
        <f t="shared" si="38"/>
        <v>300017</v>
      </c>
      <c r="C118" s="128" t="e">
        <f>VLOOKUP(B118,Multilingual!A:B,2,FALSE)</f>
        <v>#N/A</v>
      </c>
      <c r="D118" s="154">
        <v>0</v>
      </c>
      <c r="E118" s="154">
        <v>0</v>
      </c>
      <c r="F118" s="154">
        <f t="shared" si="39"/>
        <v>20605</v>
      </c>
      <c r="G118" s="154">
        <v>3</v>
      </c>
      <c r="H118" s="154">
        <v>1</v>
      </c>
      <c r="I118" s="154">
        <v>1</v>
      </c>
      <c r="J118" s="154">
        <v>0</v>
      </c>
      <c r="K118" s="154">
        <v>0</v>
      </c>
      <c r="L118" s="154">
        <v>0</v>
      </c>
      <c r="M118" s="154">
        <v>0</v>
      </c>
      <c r="N118" s="136">
        <v>30000</v>
      </c>
      <c r="O118" s="136">
        <v>75</v>
      </c>
      <c r="P118" s="144" t="s">
        <v>641</v>
      </c>
      <c r="Q118" s="136" t="s">
        <v>637</v>
      </c>
      <c r="R118" s="136"/>
      <c r="S118" s="154">
        <v>510906</v>
      </c>
      <c r="T118" s="149">
        <v>0</v>
      </c>
      <c r="U118" s="149">
        <v>0</v>
      </c>
      <c r="V118" s="149">
        <v>0</v>
      </c>
      <c r="W118" s="149">
        <v>0</v>
      </c>
      <c r="X118" s="149">
        <v>12</v>
      </c>
      <c r="Y118" s="149">
        <v>0</v>
      </c>
      <c r="Z118" s="149">
        <v>0</v>
      </c>
      <c r="AA118" s="149">
        <v>0</v>
      </c>
      <c r="AB118" s="149">
        <v>0</v>
      </c>
      <c r="AC118" s="149">
        <v>0</v>
      </c>
      <c r="AD118" s="149">
        <v>0</v>
      </c>
      <c r="AE118" s="149">
        <v>0</v>
      </c>
      <c r="AF118" s="149">
        <v>0</v>
      </c>
      <c r="AG118" s="149">
        <v>0</v>
      </c>
      <c r="AH118" s="149">
        <v>0</v>
      </c>
      <c r="AI118" s="149">
        <v>0</v>
      </c>
      <c r="AJ118" s="149">
        <v>0</v>
      </c>
      <c r="AK118" s="149">
        <f>AK117+2500</f>
        <v>67500</v>
      </c>
      <c r="AL118" s="149">
        <v>0</v>
      </c>
      <c r="AM118" s="149">
        <v>0</v>
      </c>
      <c r="AN118" s="149">
        <v>0</v>
      </c>
      <c r="AO118" s="149">
        <v>0</v>
      </c>
      <c r="AP118" s="149">
        <v>0</v>
      </c>
      <c r="AQ118" s="149">
        <v>0</v>
      </c>
      <c r="AR118" s="149">
        <v>0</v>
      </c>
      <c r="AS118" s="149">
        <v>0</v>
      </c>
      <c r="AT118" s="149">
        <v>0</v>
      </c>
      <c r="AU118" s="149">
        <v>0</v>
      </c>
      <c r="AV118" s="149">
        <v>0</v>
      </c>
      <c r="AW118" s="149">
        <v>0</v>
      </c>
      <c r="AX118" s="149">
        <v>0</v>
      </c>
      <c r="AY118" s="149">
        <v>0</v>
      </c>
      <c r="AZ118" s="149">
        <v>0</v>
      </c>
      <c r="BA118" s="149">
        <v>0</v>
      </c>
      <c r="BB118" s="149">
        <v>0</v>
      </c>
      <c r="BC118" s="149">
        <v>0</v>
      </c>
      <c r="BD118" s="149">
        <v>0</v>
      </c>
      <c r="BE118" s="149">
        <v>0</v>
      </c>
      <c r="BF118" s="149">
        <v>0</v>
      </c>
      <c r="BG118" s="149">
        <v>0</v>
      </c>
      <c r="BH118" s="149">
        <v>0</v>
      </c>
      <c r="BI118" s="149">
        <v>0</v>
      </c>
      <c r="BJ118" s="149">
        <v>0</v>
      </c>
      <c r="BK118" s="149">
        <v>0</v>
      </c>
      <c r="BL118" s="149">
        <v>0</v>
      </c>
      <c r="BM118" s="149">
        <v>0</v>
      </c>
      <c r="BN118" s="149">
        <v>0</v>
      </c>
      <c r="BO118" s="149">
        <v>0</v>
      </c>
      <c r="BP118" s="149">
        <v>0</v>
      </c>
      <c r="BQ118" s="149">
        <v>0</v>
      </c>
      <c r="BR118" s="149">
        <v>0</v>
      </c>
      <c r="BS118" s="149">
        <v>0</v>
      </c>
      <c r="BT118" s="149">
        <v>0</v>
      </c>
      <c r="BU118" s="149">
        <v>0</v>
      </c>
      <c r="BV118" s="149">
        <v>0</v>
      </c>
      <c r="BW118" s="149">
        <v>0</v>
      </c>
      <c r="BX118" s="149">
        <v>0</v>
      </c>
      <c r="BY118" s="149">
        <v>0</v>
      </c>
      <c r="BZ118" s="149">
        <v>0</v>
      </c>
    </row>
    <row r="119" spans="1:78">
      <c r="A119" s="149">
        <f t="shared" si="37"/>
        <v>20607</v>
      </c>
      <c r="B119" s="154">
        <f t="shared" si="38"/>
        <v>300017</v>
      </c>
      <c r="C119" s="128" t="e">
        <f>VLOOKUP(B119,Multilingual!A:B,2,FALSE)</f>
        <v>#N/A</v>
      </c>
      <c r="D119" s="154">
        <v>0</v>
      </c>
      <c r="E119" s="154">
        <v>0</v>
      </c>
      <c r="F119" s="154">
        <f t="shared" si="39"/>
        <v>20606</v>
      </c>
      <c r="G119" s="154">
        <v>3</v>
      </c>
      <c r="H119" s="154">
        <v>1</v>
      </c>
      <c r="I119" s="154">
        <v>1</v>
      </c>
      <c r="J119" s="154">
        <v>0</v>
      </c>
      <c r="K119" s="154">
        <v>0</v>
      </c>
      <c r="L119" s="154">
        <v>0</v>
      </c>
      <c r="M119" s="154">
        <v>0</v>
      </c>
      <c r="N119" s="136">
        <v>30000</v>
      </c>
      <c r="O119" s="136">
        <v>75</v>
      </c>
      <c r="P119" s="144" t="s">
        <v>641</v>
      </c>
      <c r="Q119" s="136" t="s">
        <v>637</v>
      </c>
      <c r="R119" s="136"/>
      <c r="S119" s="154">
        <v>510907</v>
      </c>
      <c r="T119" s="149">
        <v>0</v>
      </c>
      <c r="U119" s="149">
        <v>0</v>
      </c>
      <c r="V119" s="149">
        <v>0</v>
      </c>
      <c r="W119" s="149">
        <v>0</v>
      </c>
      <c r="X119" s="149">
        <v>12</v>
      </c>
      <c r="Y119" s="149">
        <v>0</v>
      </c>
      <c r="Z119" s="149">
        <v>0</v>
      </c>
      <c r="AA119" s="149">
        <v>0</v>
      </c>
      <c r="AB119" s="149">
        <v>0</v>
      </c>
      <c r="AC119" s="149">
        <v>0</v>
      </c>
      <c r="AD119" s="149">
        <v>0</v>
      </c>
      <c r="AE119" s="149">
        <v>0</v>
      </c>
      <c r="AF119" s="149">
        <v>0</v>
      </c>
      <c r="AG119" s="149">
        <v>0</v>
      </c>
      <c r="AH119" s="149">
        <v>0</v>
      </c>
      <c r="AI119" s="149">
        <v>0</v>
      </c>
      <c r="AJ119" s="149">
        <v>0</v>
      </c>
      <c r="AK119" s="149">
        <f t="shared" ref="AK119:AK122" si="40">AK118+2500</f>
        <v>70000</v>
      </c>
      <c r="AL119" s="149">
        <v>0</v>
      </c>
      <c r="AM119" s="149">
        <v>0</v>
      </c>
      <c r="AN119" s="149">
        <v>0</v>
      </c>
      <c r="AO119" s="149">
        <v>0</v>
      </c>
      <c r="AP119" s="149">
        <v>0</v>
      </c>
      <c r="AQ119" s="149">
        <v>0</v>
      </c>
      <c r="AR119" s="149">
        <v>0</v>
      </c>
      <c r="AS119" s="149">
        <v>0</v>
      </c>
      <c r="AT119" s="149">
        <v>0</v>
      </c>
      <c r="AU119" s="149">
        <v>0</v>
      </c>
      <c r="AV119" s="149">
        <v>0</v>
      </c>
      <c r="AW119" s="149">
        <v>0</v>
      </c>
      <c r="AX119" s="149">
        <v>0</v>
      </c>
      <c r="AY119" s="149">
        <v>0</v>
      </c>
      <c r="AZ119" s="149">
        <v>0</v>
      </c>
      <c r="BA119" s="149">
        <v>0</v>
      </c>
      <c r="BB119" s="149">
        <v>0</v>
      </c>
      <c r="BC119" s="149">
        <v>0</v>
      </c>
      <c r="BD119" s="149">
        <v>0</v>
      </c>
      <c r="BE119" s="149">
        <v>0</v>
      </c>
      <c r="BF119" s="149">
        <v>0</v>
      </c>
      <c r="BG119" s="149">
        <v>0</v>
      </c>
      <c r="BH119" s="149">
        <v>0</v>
      </c>
      <c r="BI119" s="149">
        <v>0</v>
      </c>
      <c r="BJ119" s="149">
        <v>0</v>
      </c>
      <c r="BK119" s="149">
        <v>0</v>
      </c>
      <c r="BL119" s="149">
        <v>0</v>
      </c>
      <c r="BM119" s="149">
        <v>0</v>
      </c>
      <c r="BN119" s="149">
        <v>0</v>
      </c>
      <c r="BO119" s="149">
        <v>0</v>
      </c>
      <c r="BP119" s="149">
        <v>0</v>
      </c>
      <c r="BQ119" s="149">
        <v>0</v>
      </c>
      <c r="BR119" s="149">
        <v>0</v>
      </c>
      <c r="BS119" s="149">
        <v>0</v>
      </c>
      <c r="BT119" s="149">
        <v>0</v>
      </c>
      <c r="BU119" s="149">
        <v>0</v>
      </c>
      <c r="BV119" s="149">
        <v>0</v>
      </c>
      <c r="BW119" s="149">
        <v>0</v>
      </c>
      <c r="BX119" s="149">
        <v>0</v>
      </c>
      <c r="BY119" s="149">
        <v>0</v>
      </c>
      <c r="BZ119" s="149">
        <v>0</v>
      </c>
    </row>
    <row r="120" spans="1:78">
      <c r="A120" s="149">
        <f t="shared" si="37"/>
        <v>20608</v>
      </c>
      <c r="B120" s="154">
        <f t="shared" si="38"/>
        <v>300017</v>
      </c>
      <c r="C120" s="128" t="e">
        <f>VLOOKUP(B120,Multilingual!A:B,2,FALSE)</f>
        <v>#N/A</v>
      </c>
      <c r="D120" s="154">
        <v>0</v>
      </c>
      <c r="E120" s="154">
        <v>0</v>
      </c>
      <c r="F120" s="154">
        <f t="shared" si="39"/>
        <v>20607</v>
      </c>
      <c r="G120" s="154">
        <v>3</v>
      </c>
      <c r="H120" s="154">
        <v>1</v>
      </c>
      <c r="I120" s="154">
        <v>1</v>
      </c>
      <c r="J120" s="154">
        <v>0</v>
      </c>
      <c r="K120" s="154">
        <v>0</v>
      </c>
      <c r="L120" s="154">
        <v>0</v>
      </c>
      <c r="M120" s="154">
        <v>0</v>
      </c>
      <c r="N120" s="136">
        <v>30000</v>
      </c>
      <c r="O120" s="136">
        <v>75</v>
      </c>
      <c r="P120" s="144" t="s">
        <v>641</v>
      </c>
      <c r="Q120" s="136" t="s">
        <v>637</v>
      </c>
      <c r="R120" s="136"/>
      <c r="S120" s="154">
        <v>510908</v>
      </c>
      <c r="T120" s="149">
        <v>0</v>
      </c>
      <c r="U120" s="149">
        <v>0</v>
      </c>
      <c r="V120" s="149">
        <v>0</v>
      </c>
      <c r="W120" s="149">
        <v>0</v>
      </c>
      <c r="X120" s="149">
        <v>12</v>
      </c>
      <c r="Y120" s="149">
        <v>0</v>
      </c>
      <c r="Z120" s="149">
        <v>0</v>
      </c>
      <c r="AA120" s="149">
        <v>0</v>
      </c>
      <c r="AB120" s="149">
        <v>0</v>
      </c>
      <c r="AC120" s="149">
        <v>0</v>
      </c>
      <c r="AD120" s="149">
        <v>0</v>
      </c>
      <c r="AE120" s="149">
        <v>0</v>
      </c>
      <c r="AF120" s="149">
        <v>0</v>
      </c>
      <c r="AG120" s="149">
        <v>0</v>
      </c>
      <c r="AH120" s="149">
        <v>0</v>
      </c>
      <c r="AI120" s="149">
        <v>0</v>
      </c>
      <c r="AJ120" s="149">
        <v>0</v>
      </c>
      <c r="AK120" s="149">
        <f t="shared" si="40"/>
        <v>72500</v>
      </c>
      <c r="AL120" s="149">
        <v>0</v>
      </c>
      <c r="AM120" s="149">
        <v>0</v>
      </c>
      <c r="AN120" s="149">
        <v>0</v>
      </c>
      <c r="AO120" s="149">
        <v>0</v>
      </c>
      <c r="AP120" s="149">
        <v>0</v>
      </c>
      <c r="AQ120" s="149">
        <v>0</v>
      </c>
      <c r="AR120" s="149">
        <v>0</v>
      </c>
      <c r="AS120" s="149">
        <v>0</v>
      </c>
      <c r="AT120" s="149">
        <v>0</v>
      </c>
      <c r="AU120" s="149">
        <v>0</v>
      </c>
      <c r="AV120" s="149">
        <v>0</v>
      </c>
      <c r="AW120" s="149">
        <v>0</v>
      </c>
      <c r="AX120" s="149">
        <v>0</v>
      </c>
      <c r="AY120" s="149">
        <v>0</v>
      </c>
      <c r="AZ120" s="149">
        <v>0</v>
      </c>
      <c r="BA120" s="149">
        <v>0</v>
      </c>
      <c r="BB120" s="149">
        <v>0</v>
      </c>
      <c r="BC120" s="149">
        <v>0</v>
      </c>
      <c r="BD120" s="149">
        <v>0</v>
      </c>
      <c r="BE120" s="149">
        <v>0</v>
      </c>
      <c r="BF120" s="149">
        <v>0</v>
      </c>
      <c r="BG120" s="149">
        <v>0</v>
      </c>
      <c r="BH120" s="149">
        <v>0</v>
      </c>
      <c r="BI120" s="149">
        <v>0</v>
      </c>
      <c r="BJ120" s="149">
        <v>0</v>
      </c>
      <c r="BK120" s="149">
        <v>0</v>
      </c>
      <c r="BL120" s="149">
        <v>0</v>
      </c>
      <c r="BM120" s="149">
        <v>0</v>
      </c>
      <c r="BN120" s="149">
        <v>0</v>
      </c>
      <c r="BO120" s="149">
        <v>0</v>
      </c>
      <c r="BP120" s="149">
        <v>0</v>
      </c>
      <c r="BQ120" s="149">
        <v>0</v>
      </c>
      <c r="BR120" s="149">
        <v>0</v>
      </c>
      <c r="BS120" s="149">
        <v>0</v>
      </c>
      <c r="BT120" s="149">
        <v>0</v>
      </c>
      <c r="BU120" s="149">
        <v>0</v>
      </c>
      <c r="BV120" s="149">
        <v>0</v>
      </c>
      <c r="BW120" s="149">
        <v>0</v>
      </c>
      <c r="BX120" s="149">
        <v>0</v>
      </c>
      <c r="BY120" s="149">
        <v>0</v>
      </c>
      <c r="BZ120" s="149">
        <v>0</v>
      </c>
    </row>
    <row r="121" spans="1:78">
      <c r="A121" s="149">
        <f t="shared" si="37"/>
        <v>20609</v>
      </c>
      <c r="B121" s="154">
        <f t="shared" si="38"/>
        <v>300017</v>
      </c>
      <c r="C121" s="128" t="e">
        <f>VLOOKUP(B121,Multilingual!A:B,2,FALSE)</f>
        <v>#N/A</v>
      </c>
      <c r="D121" s="154">
        <v>0</v>
      </c>
      <c r="E121" s="154">
        <v>0</v>
      </c>
      <c r="F121" s="154">
        <f t="shared" si="39"/>
        <v>20608</v>
      </c>
      <c r="G121" s="154">
        <v>3</v>
      </c>
      <c r="H121" s="154">
        <v>1</v>
      </c>
      <c r="I121" s="154">
        <v>1</v>
      </c>
      <c r="J121" s="154">
        <v>0</v>
      </c>
      <c r="K121" s="154">
        <v>0</v>
      </c>
      <c r="L121" s="154">
        <v>0</v>
      </c>
      <c r="M121" s="154">
        <v>0</v>
      </c>
      <c r="N121" s="136">
        <v>30000</v>
      </c>
      <c r="O121" s="136">
        <v>75</v>
      </c>
      <c r="P121" s="144" t="s">
        <v>641</v>
      </c>
      <c r="Q121" s="136" t="s">
        <v>637</v>
      </c>
      <c r="R121" s="136"/>
      <c r="S121" s="154">
        <v>510909</v>
      </c>
      <c r="T121" s="149">
        <v>0</v>
      </c>
      <c r="U121" s="149">
        <v>0</v>
      </c>
      <c r="V121" s="149">
        <v>0</v>
      </c>
      <c r="W121" s="149">
        <v>0</v>
      </c>
      <c r="X121" s="149">
        <v>12</v>
      </c>
      <c r="Y121" s="149">
        <v>0</v>
      </c>
      <c r="Z121" s="149">
        <v>0</v>
      </c>
      <c r="AA121" s="149">
        <v>0</v>
      </c>
      <c r="AB121" s="149">
        <v>0</v>
      </c>
      <c r="AC121" s="149">
        <v>0</v>
      </c>
      <c r="AD121" s="149">
        <v>0</v>
      </c>
      <c r="AE121" s="149">
        <v>0</v>
      </c>
      <c r="AF121" s="149">
        <v>0</v>
      </c>
      <c r="AG121" s="149">
        <v>0</v>
      </c>
      <c r="AH121" s="149">
        <v>0</v>
      </c>
      <c r="AI121" s="149">
        <v>0</v>
      </c>
      <c r="AJ121" s="149">
        <v>0</v>
      </c>
      <c r="AK121" s="149">
        <f t="shared" si="40"/>
        <v>75000</v>
      </c>
      <c r="AL121" s="149">
        <v>0</v>
      </c>
      <c r="AM121" s="149">
        <v>0</v>
      </c>
      <c r="AN121" s="149">
        <v>0</v>
      </c>
      <c r="AO121" s="149">
        <v>0</v>
      </c>
      <c r="AP121" s="149">
        <v>0</v>
      </c>
      <c r="AQ121" s="149">
        <v>0</v>
      </c>
      <c r="AR121" s="149">
        <v>0</v>
      </c>
      <c r="AS121" s="149">
        <v>0</v>
      </c>
      <c r="AT121" s="149">
        <v>0</v>
      </c>
      <c r="AU121" s="149">
        <v>0</v>
      </c>
      <c r="AV121" s="149">
        <v>0</v>
      </c>
      <c r="AW121" s="149">
        <v>0</v>
      </c>
      <c r="AX121" s="149">
        <v>0</v>
      </c>
      <c r="AY121" s="149">
        <v>0</v>
      </c>
      <c r="AZ121" s="149">
        <v>0</v>
      </c>
      <c r="BA121" s="149">
        <v>0</v>
      </c>
      <c r="BB121" s="149">
        <v>0</v>
      </c>
      <c r="BC121" s="149">
        <v>0</v>
      </c>
      <c r="BD121" s="149">
        <v>0</v>
      </c>
      <c r="BE121" s="149">
        <v>0</v>
      </c>
      <c r="BF121" s="149">
        <v>0</v>
      </c>
      <c r="BG121" s="149">
        <v>0</v>
      </c>
      <c r="BH121" s="149">
        <v>0</v>
      </c>
      <c r="BI121" s="149">
        <v>0</v>
      </c>
      <c r="BJ121" s="149">
        <v>0</v>
      </c>
      <c r="BK121" s="149">
        <v>0</v>
      </c>
      <c r="BL121" s="149">
        <v>0</v>
      </c>
      <c r="BM121" s="149">
        <v>0</v>
      </c>
      <c r="BN121" s="149">
        <v>0</v>
      </c>
      <c r="BO121" s="149">
        <v>0</v>
      </c>
      <c r="BP121" s="149">
        <v>0</v>
      </c>
      <c r="BQ121" s="149">
        <v>0</v>
      </c>
      <c r="BR121" s="149">
        <v>0</v>
      </c>
      <c r="BS121" s="149">
        <v>0</v>
      </c>
      <c r="BT121" s="149">
        <v>0</v>
      </c>
      <c r="BU121" s="149">
        <v>0</v>
      </c>
      <c r="BV121" s="149">
        <v>0</v>
      </c>
      <c r="BW121" s="149">
        <v>0</v>
      </c>
      <c r="BX121" s="149">
        <v>0</v>
      </c>
      <c r="BY121" s="149">
        <v>0</v>
      </c>
      <c r="BZ121" s="149">
        <v>0</v>
      </c>
    </row>
    <row r="122" spans="1:78">
      <c r="A122" s="149">
        <f t="shared" si="37"/>
        <v>20610</v>
      </c>
      <c r="B122" s="154">
        <f t="shared" si="38"/>
        <v>300017</v>
      </c>
      <c r="C122" s="128" t="e">
        <f>VLOOKUP(B122,Multilingual!A:B,2,FALSE)</f>
        <v>#N/A</v>
      </c>
      <c r="D122" s="154">
        <v>0</v>
      </c>
      <c r="E122" s="154">
        <v>0</v>
      </c>
      <c r="F122" s="154">
        <f t="shared" si="39"/>
        <v>20609</v>
      </c>
      <c r="G122" s="154">
        <v>3</v>
      </c>
      <c r="H122" s="154">
        <v>1</v>
      </c>
      <c r="I122" s="154">
        <v>1</v>
      </c>
      <c r="J122" s="154">
        <v>0</v>
      </c>
      <c r="K122" s="154">
        <v>0</v>
      </c>
      <c r="L122" s="154">
        <v>0</v>
      </c>
      <c r="M122" s="154">
        <v>0</v>
      </c>
      <c r="N122" s="136">
        <v>30000</v>
      </c>
      <c r="O122" s="136">
        <v>75</v>
      </c>
      <c r="P122" s="144" t="s">
        <v>641</v>
      </c>
      <c r="Q122" s="136" t="s">
        <v>637</v>
      </c>
      <c r="R122" s="136"/>
      <c r="S122" s="154">
        <v>510910</v>
      </c>
      <c r="T122" s="149">
        <v>0</v>
      </c>
      <c r="U122" s="149">
        <v>0</v>
      </c>
      <c r="V122" s="149">
        <v>0</v>
      </c>
      <c r="W122" s="149">
        <v>0</v>
      </c>
      <c r="X122" s="149">
        <v>12</v>
      </c>
      <c r="Y122" s="149">
        <v>0</v>
      </c>
      <c r="Z122" s="149">
        <v>0</v>
      </c>
      <c r="AA122" s="149">
        <v>0</v>
      </c>
      <c r="AB122" s="149">
        <v>0</v>
      </c>
      <c r="AC122" s="149">
        <v>0</v>
      </c>
      <c r="AD122" s="149">
        <v>0</v>
      </c>
      <c r="AE122" s="149">
        <v>0</v>
      </c>
      <c r="AF122" s="149">
        <v>0</v>
      </c>
      <c r="AG122" s="149">
        <v>0</v>
      </c>
      <c r="AH122" s="149">
        <v>0</v>
      </c>
      <c r="AI122" s="149">
        <v>0</v>
      </c>
      <c r="AJ122" s="149">
        <v>0</v>
      </c>
      <c r="AK122" s="149">
        <f t="shared" si="40"/>
        <v>77500</v>
      </c>
      <c r="AL122" s="149">
        <v>0</v>
      </c>
      <c r="AM122" s="149">
        <v>0</v>
      </c>
      <c r="AN122" s="149">
        <v>0</v>
      </c>
      <c r="AO122" s="149">
        <v>0</v>
      </c>
      <c r="AP122" s="149">
        <v>0</v>
      </c>
      <c r="AQ122" s="149">
        <v>0</v>
      </c>
      <c r="AR122" s="149">
        <v>0</v>
      </c>
      <c r="AS122" s="149">
        <v>0</v>
      </c>
      <c r="AT122" s="149">
        <v>0</v>
      </c>
      <c r="AU122" s="149">
        <v>0</v>
      </c>
      <c r="AV122" s="149">
        <v>0</v>
      </c>
      <c r="AW122" s="149">
        <v>0</v>
      </c>
      <c r="AX122" s="149">
        <v>0</v>
      </c>
      <c r="AY122" s="149">
        <v>0</v>
      </c>
      <c r="AZ122" s="149">
        <v>0</v>
      </c>
      <c r="BA122" s="149">
        <v>0</v>
      </c>
      <c r="BB122" s="149">
        <v>0</v>
      </c>
      <c r="BC122" s="149">
        <v>0</v>
      </c>
      <c r="BD122" s="149">
        <v>0</v>
      </c>
      <c r="BE122" s="149">
        <v>0</v>
      </c>
      <c r="BF122" s="149">
        <v>0</v>
      </c>
      <c r="BG122" s="149">
        <v>0</v>
      </c>
      <c r="BH122" s="149">
        <v>0</v>
      </c>
      <c r="BI122" s="149">
        <v>0</v>
      </c>
      <c r="BJ122" s="149">
        <v>0</v>
      </c>
      <c r="BK122" s="149">
        <v>0</v>
      </c>
      <c r="BL122" s="149">
        <v>0</v>
      </c>
      <c r="BM122" s="149">
        <v>0</v>
      </c>
      <c r="BN122" s="149">
        <v>0</v>
      </c>
      <c r="BO122" s="149">
        <v>0</v>
      </c>
      <c r="BP122" s="149">
        <v>0</v>
      </c>
      <c r="BQ122" s="149">
        <v>0</v>
      </c>
      <c r="BR122" s="149">
        <v>0</v>
      </c>
      <c r="BS122" s="149">
        <v>0</v>
      </c>
      <c r="BT122" s="149">
        <v>0</v>
      </c>
      <c r="BU122" s="149">
        <v>0</v>
      </c>
      <c r="BV122" s="149">
        <v>0</v>
      </c>
      <c r="BW122" s="149">
        <v>0</v>
      </c>
      <c r="BX122" s="149">
        <v>0</v>
      </c>
      <c r="BY122" s="149">
        <v>0</v>
      </c>
      <c r="BZ122" s="149">
        <v>0</v>
      </c>
    </row>
    <row r="123" spans="1:78">
      <c r="A123" s="149">
        <f>A113+100</f>
        <v>20701</v>
      </c>
      <c r="B123" s="154">
        <f>B122+1</f>
        <v>300018</v>
      </c>
      <c r="C123" s="128" t="e">
        <f>VLOOKUP(B123,Multilingual!A:B,2,FALSE)</f>
        <v>#N/A</v>
      </c>
      <c r="D123" s="154">
        <v>0</v>
      </c>
      <c r="E123" s="154">
        <v>0</v>
      </c>
      <c r="F123" s="154">
        <v>0</v>
      </c>
      <c r="G123" s="154">
        <v>3</v>
      </c>
      <c r="H123" s="154">
        <v>1</v>
      </c>
      <c r="I123" s="154">
        <v>1</v>
      </c>
      <c r="J123" s="154">
        <v>0</v>
      </c>
      <c r="K123" s="154">
        <v>0</v>
      </c>
      <c r="L123" s="154">
        <v>0</v>
      </c>
      <c r="M123" s="154">
        <v>0</v>
      </c>
      <c r="N123" s="136">
        <v>40000</v>
      </c>
      <c r="O123" s="136">
        <v>85</v>
      </c>
      <c r="P123" s="136"/>
      <c r="Q123" s="144" t="s">
        <v>642</v>
      </c>
      <c r="R123" s="136"/>
      <c r="S123" s="154">
        <v>511001</v>
      </c>
      <c r="T123" s="149">
        <v>0</v>
      </c>
      <c r="U123" s="149">
        <v>0</v>
      </c>
      <c r="V123" s="149">
        <v>0</v>
      </c>
      <c r="W123" s="149">
        <v>0</v>
      </c>
      <c r="X123" s="149">
        <v>12</v>
      </c>
      <c r="Y123" s="149">
        <v>0</v>
      </c>
      <c r="Z123" s="149">
        <v>0</v>
      </c>
      <c r="AA123" s="149">
        <v>0</v>
      </c>
      <c r="AB123" s="149">
        <v>0</v>
      </c>
      <c r="AC123" s="149">
        <v>0</v>
      </c>
      <c r="AD123" s="149">
        <v>0</v>
      </c>
      <c r="AE123" s="149">
        <v>0</v>
      </c>
      <c r="AF123" s="149">
        <v>0</v>
      </c>
      <c r="AG123" s="149">
        <v>0</v>
      </c>
      <c r="AH123" s="149">
        <v>0</v>
      </c>
      <c r="AI123" s="149">
        <v>0</v>
      </c>
      <c r="AJ123" s="149">
        <v>0</v>
      </c>
      <c r="AK123" s="149">
        <f t="shared" ref="AK123:AK130" si="41">AK124-3000</f>
        <v>58000</v>
      </c>
      <c r="AL123" s="149">
        <v>0</v>
      </c>
      <c r="AM123" s="149">
        <v>0</v>
      </c>
      <c r="AN123" s="149">
        <v>0</v>
      </c>
      <c r="AO123" s="149">
        <v>0</v>
      </c>
      <c r="AP123" s="149">
        <v>0</v>
      </c>
      <c r="AQ123" s="149">
        <v>0</v>
      </c>
      <c r="AR123" s="149">
        <v>0</v>
      </c>
      <c r="AS123" s="149">
        <v>0</v>
      </c>
      <c r="AT123" s="149">
        <v>0</v>
      </c>
      <c r="AU123" s="149">
        <v>0</v>
      </c>
      <c r="AV123" s="149">
        <v>0</v>
      </c>
      <c r="AW123" s="149">
        <v>0</v>
      </c>
      <c r="AX123" s="149">
        <v>0</v>
      </c>
      <c r="AY123" s="149">
        <v>0</v>
      </c>
      <c r="AZ123" s="149">
        <v>0</v>
      </c>
      <c r="BA123" s="149">
        <v>0</v>
      </c>
      <c r="BB123" s="149">
        <v>0</v>
      </c>
      <c r="BC123" s="149">
        <v>0</v>
      </c>
      <c r="BD123" s="149">
        <v>0</v>
      </c>
      <c r="BE123" s="149">
        <v>0</v>
      </c>
      <c r="BF123" s="149">
        <v>0</v>
      </c>
      <c r="BG123" s="149">
        <v>0</v>
      </c>
      <c r="BH123" s="149">
        <v>0</v>
      </c>
      <c r="BI123" s="149">
        <v>0</v>
      </c>
      <c r="BJ123" s="149">
        <v>0</v>
      </c>
      <c r="BK123" s="149">
        <v>0</v>
      </c>
      <c r="BL123" s="149">
        <v>0</v>
      </c>
      <c r="BM123" s="149">
        <v>0</v>
      </c>
      <c r="BN123" s="149">
        <v>0</v>
      </c>
      <c r="BO123" s="149">
        <v>0</v>
      </c>
      <c r="BP123" s="149">
        <v>0</v>
      </c>
      <c r="BQ123" s="149">
        <v>0</v>
      </c>
      <c r="BR123" s="149">
        <v>0</v>
      </c>
      <c r="BS123" s="149">
        <v>0</v>
      </c>
      <c r="BT123" s="149">
        <v>0</v>
      </c>
      <c r="BU123" s="149">
        <v>0</v>
      </c>
      <c r="BV123" s="149">
        <v>0</v>
      </c>
      <c r="BW123" s="149">
        <v>0</v>
      </c>
      <c r="BX123" s="149">
        <v>0</v>
      </c>
      <c r="BY123" s="149">
        <v>0</v>
      </c>
      <c r="BZ123" s="149">
        <v>0</v>
      </c>
    </row>
    <row r="124" spans="1:78">
      <c r="A124" s="149">
        <f>A123+1</f>
        <v>20702</v>
      </c>
      <c r="B124" s="154">
        <f>B123</f>
        <v>300018</v>
      </c>
      <c r="C124" s="128" t="e">
        <f>VLOOKUP(B124,Multilingual!A:B,2,FALSE)</f>
        <v>#N/A</v>
      </c>
      <c r="D124" s="154">
        <v>0</v>
      </c>
      <c r="E124" s="154">
        <v>0</v>
      </c>
      <c r="F124" s="154">
        <f>F114+100</f>
        <v>20701</v>
      </c>
      <c r="G124" s="154">
        <v>3</v>
      </c>
      <c r="H124" s="154">
        <v>1</v>
      </c>
      <c r="I124" s="154">
        <v>1</v>
      </c>
      <c r="J124" s="154">
        <v>0</v>
      </c>
      <c r="K124" s="154">
        <v>0</v>
      </c>
      <c r="L124" s="154">
        <v>0</v>
      </c>
      <c r="M124" s="154">
        <v>0</v>
      </c>
      <c r="N124" s="136">
        <v>40000</v>
      </c>
      <c r="O124" s="136">
        <v>85</v>
      </c>
      <c r="P124" s="136"/>
      <c r="Q124" s="144" t="s">
        <v>642</v>
      </c>
      <c r="R124" s="136"/>
      <c r="S124" s="154">
        <v>511002</v>
      </c>
      <c r="T124" s="149">
        <v>0</v>
      </c>
      <c r="U124" s="149">
        <v>0</v>
      </c>
      <c r="V124" s="149">
        <v>0</v>
      </c>
      <c r="W124" s="149">
        <v>0</v>
      </c>
      <c r="X124" s="149">
        <v>12</v>
      </c>
      <c r="Y124" s="149">
        <v>0</v>
      </c>
      <c r="Z124" s="149">
        <v>0</v>
      </c>
      <c r="AA124" s="149">
        <v>0</v>
      </c>
      <c r="AB124" s="149">
        <v>0</v>
      </c>
      <c r="AC124" s="149">
        <v>0</v>
      </c>
      <c r="AD124" s="149">
        <v>0</v>
      </c>
      <c r="AE124" s="149">
        <v>0</v>
      </c>
      <c r="AF124" s="149">
        <v>0</v>
      </c>
      <c r="AG124" s="149">
        <v>0</v>
      </c>
      <c r="AH124" s="149">
        <v>0</v>
      </c>
      <c r="AI124" s="149">
        <v>0</v>
      </c>
      <c r="AJ124" s="149">
        <v>0</v>
      </c>
      <c r="AK124" s="149">
        <f t="shared" si="41"/>
        <v>61000</v>
      </c>
      <c r="AL124" s="149">
        <v>0</v>
      </c>
      <c r="AM124" s="149">
        <v>0</v>
      </c>
      <c r="AN124" s="149">
        <v>0</v>
      </c>
      <c r="AO124" s="149">
        <v>0</v>
      </c>
      <c r="AP124" s="149">
        <v>0</v>
      </c>
      <c r="AQ124" s="149">
        <v>0</v>
      </c>
      <c r="AR124" s="149">
        <v>0</v>
      </c>
      <c r="AS124" s="149">
        <v>0</v>
      </c>
      <c r="AT124" s="149">
        <v>0</v>
      </c>
      <c r="AU124" s="149">
        <v>0</v>
      </c>
      <c r="AV124" s="149">
        <v>0</v>
      </c>
      <c r="AW124" s="149">
        <v>0</v>
      </c>
      <c r="AX124" s="149">
        <v>0</v>
      </c>
      <c r="AY124" s="149">
        <v>0</v>
      </c>
      <c r="AZ124" s="149">
        <v>0</v>
      </c>
      <c r="BA124" s="149">
        <v>0</v>
      </c>
      <c r="BB124" s="149">
        <v>0</v>
      </c>
      <c r="BC124" s="149">
        <v>0</v>
      </c>
      <c r="BD124" s="149">
        <v>0</v>
      </c>
      <c r="BE124" s="149">
        <v>0</v>
      </c>
      <c r="BF124" s="149">
        <v>0</v>
      </c>
      <c r="BG124" s="149">
        <v>0</v>
      </c>
      <c r="BH124" s="149">
        <v>0</v>
      </c>
      <c r="BI124" s="149">
        <v>0</v>
      </c>
      <c r="BJ124" s="149">
        <v>0</v>
      </c>
      <c r="BK124" s="149">
        <v>0</v>
      </c>
      <c r="BL124" s="149">
        <v>0</v>
      </c>
      <c r="BM124" s="149">
        <v>0</v>
      </c>
      <c r="BN124" s="149">
        <v>0</v>
      </c>
      <c r="BO124" s="149">
        <v>0</v>
      </c>
      <c r="BP124" s="149">
        <v>0</v>
      </c>
      <c r="BQ124" s="149">
        <v>0</v>
      </c>
      <c r="BR124" s="149">
        <v>0</v>
      </c>
      <c r="BS124" s="149">
        <v>0</v>
      </c>
      <c r="BT124" s="149">
        <v>0</v>
      </c>
      <c r="BU124" s="149">
        <v>0</v>
      </c>
      <c r="BV124" s="149">
        <v>0</v>
      </c>
      <c r="BW124" s="149">
        <v>0</v>
      </c>
      <c r="BX124" s="149">
        <v>0</v>
      </c>
      <c r="BY124" s="149">
        <v>0</v>
      </c>
      <c r="BZ124" s="149">
        <v>0</v>
      </c>
    </row>
    <row r="125" spans="1:78">
      <c r="A125" s="149">
        <f t="shared" ref="A125:A132" si="42">A124+1</f>
        <v>20703</v>
      </c>
      <c r="B125" s="154">
        <f t="shared" ref="B125:B132" si="43">B124</f>
        <v>300018</v>
      </c>
      <c r="C125" s="128" t="e">
        <f>VLOOKUP(B125,Multilingual!A:B,2,FALSE)</f>
        <v>#N/A</v>
      </c>
      <c r="D125" s="154">
        <v>0</v>
      </c>
      <c r="E125" s="154">
        <v>0</v>
      </c>
      <c r="F125" s="154">
        <f>F124+1</f>
        <v>20702</v>
      </c>
      <c r="G125" s="154">
        <v>3</v>
      </c>
      <c r="H125" s="154">
        <v>1</v>
      </c>
      <c r="I125" s="154">
        <v>1</v>
      </c>
      <c r="J125" s="154">
        <v>0</v>
      </c>
      <c r="K125" s="154">
        <v>0</v>
      </c>
      <c r="L125" s="154">
        <v>0</v>
      </c>
      <c r="M125" s="154">
        <v>0</v>
      </c>
      <c r="N125" s="136">
        <v>40000</v>
      </c>
      <c r="O125" s="136">
        <v>85</v>
      </c>
      <c r="P125" s="136"/>
      <c r="Q125" s="144" t="s">
        <v>642</v>
      </c>
      <c r="R125" s="136"/>
      <c r="S125" s="154">
        <v>511003</v>
      </c>
      <c r="T125" s="149">
        <v>0</v>
      </c>
      <c r="U125" s="149">
        <v>0</v>
      </c>
      <c r="V125" s="149">
        <v>0</v>
      </c>
      <c r="W125" s="149">
        <v>0</v>
      </c>
      <c r="X125" s="149">
        <v>12</v>
      </c>
      <c r="Y125" s="149">
        <v>0</v>
      </c>
      <c r="Z125" s="149">
        <v>0</v>
      </c>
      <c r="AA125" s="149">
        <v>0</v>
      </c>
      <c r="AB125" s="149">
        <v>0</v>
      </c>
      <c r="AC125" s="149">
        <v>0</v>
      </c>
      <c r="AD125" s="149">
        <v>0</v>
      </c>
      <c r="AE125" s="149">
        <v>0</v>
      </c>
      <c r="AF125" s="149">
        <v>0</v>
      </c>
      <c r="AG125" s="149">
        <v>0</v>
      </c>
      <c r="AH125" s="149">
        <v>0</v>
      </c>
      <c r="AI125" s="149">
        <v>0</v>
      </c>
      <c r="AJ125" s="149">
        <v>0</v>
      </c>
      <c r="AK125" s="149">
        <f t="shared" si="41"/>
        <v>64000</v>
      </c>
      <c r="AL125" s="149">
        <v>0</v>
      </c>
      <c r="AM125" s="149">
        <v>0</v>
      </c>
      <c r="AN125" s="149">
        <v>0</v>
      </c>
      <c r="AO125" s="149">
        <v>0</v>
      </c>
      <c r="AP125" s="149">
        <v>0</v>
      </c>
      <c r="AQ125" s="149">
        <v>0</v>
      </c>
      <c r="AR125" s="149">
        <v>0</v>
      </c>
      <c r="AS125" s="149">
        <v>0</v>
      </c>
      <c r="AT125" s="149">
        <v>0</v>
      </c>
      <c r="AU125" s="149">
        <v>0</v>
      </c>
      <c r="AV125" s="149">
        <v>0</v>
      </c>
      <c r="AW125" s="149">
        <v>0</v>
      </c>
      <c r="AX125" s="149">
        <v>0</v>
      </c>
      <c r="AY125" s="149">
        <v>0</v>
      </c>
      <c r="AZ125" s="149">
        <v>0</v>
      </c>
      <c r="BA125" s="149">
        <v>0</v>
      </c>
      <c r="BB125" s="149">
        <v>0</v>
      </c>
      <c r="BC125" s="149">
        <v>0</v>
      </c>
      <c r="BD125" s="149">
        <v>0</v>
      </c>
      <c r="BE125" s="149">
        <v>0</v>
      </c>
      <c r="BF125" s="149">
        <v>0</v>
      </c>
      <c r="BG125" s="149">
        <v>0</v>
      </c>
      <c r="BH125" s="149">
        <v>0</v>
      </c>
      <c r="BI125" s="149">
        <v>0</v>
      </c>
      <c r="BJ125" s="149">
        <v>0</v>
      </c>
      <c r="BK125" s="149">
        <v>0</v>
      </c>
      <c r="BL125" s="149">
        <v>0</v>
      </c>
      <c r="BM125" s="149">
        <v>0</v>
      </c>
      <c r="BN125" s="149">
        <v>0</v>
      </c>
      <c r="BO125" s="149">
        <v>0</v>
      </c>
      <c r="BP125" s="149">
        <v>0</v>
      </c>
      <c r="BQ125" s="149">
        <v>0</v>
      </c>
      <c r="BR125" s="149">
        <v>0</v>
      </c>
      <c r="BS125" s="149">
        <v>0</v>
      </c>
      <c r="BT125" s="149">
        <v>0</v>
      </c>
      <c r="BU125" s="149">
        <v>0</v>
      </c>
      <c r="BV125" s="149">
        <v>0</v>
      </c>
      <c r="BW125" s="149">
        <v>0</v>
      </c>
      <c r="BX125" s="149">
        <v>0</v>
      </c>
      <c r="BY125" s="149">
        <v>0</v>
      </c>
      <c r="BZ125" s="149">
        <v>0</v>
      </c>
    </row>
    <row r="126" spans="1:78">
      <c r="A126" s="149">
        <f t="shared" si="42"/>
        <v>20704</v>
      </c>
      <c r="B126" s="154">
        <f t="shared" si="43"/>
        <v>300018</v>
      </c>
      <c r="C126" s="128" t="e">
        <f>VLOOKUP(B126,Multilingual!A:B,2,FALSE)</f>
        <v>#N/A</v>
      </c>
      <c r="D126" s="154">
        <v>0</v>
      </c>
      <c r="E126" s="154">
        <v>0</v>
      </c>
      <c r="F126" s="154">
        <f t="shared" ref="F126:F132" si="44">F125+1</f>
        <v>20703</v>
      </c>
      <c r="G126" s="154">
        <v>3</v>
      </c>
      <c r="H126" s="154">
        <v>1</v>
      </c>
      <c r="I126" s="154">
        <v>1</v>
      </c>
      <c r="J126" s="154">
        <v>0</v>
      </c>
      <c r="K126" s="154">
        <v>0</v>
      </c>
      <c r="L126" s="154">
        <v>0</v>
      </c>
      <c r="M126" s="154">
        <v>0</v>
      </c>
      <c r="N126" s="136">
        <v>40000</v>
      </c>
      <c r="O126" s="136">
        <v>85</v>
      </c>
      <c r="P126" s="136"/>
      <c r="Q126" s="144" t="s">
        <v>642</v>
      </c>
      <c r="R126" s="136"/>
      <c r="S126" s="154">
        <v>511004</v>
      </c>
      <c r="T126" s="149">
        <v>0</v>
      </c>
      <c r="U126" s="149">
        <v>0</v>
      </c>
      <c r="V126" s="149">
        <v>0</v>
      </c>
      <c r="W126" s="149">
        <v>0</v>
      </c>
      <c r="X126" s="149">
        <v>12</v>
      </c>
      <c r="Y126" s="149">
        <v>0</v>
      </c>
      <c r="Z126" s="149">
        <v>0</v>
      </c>
      <c r="AA126" s="149">
        <v>0</v>
      </c>
      <c r="AB126" s="149">
        <v>0</v>
      </c>
      <c r="AC126" s="149">
        <v>0</v>
      </c>
      <c r="AD126" s="149">
        <v>0</v>
      </c>
      <c r="AE126" s="149">
        <v>0</v>
      </c>
      <c r="AF126" s="149">
        <v>0</v>
      </c>
      <c r="AG126" s="149">
        <v>0</v>
      </c>
      <c r="AH126" s="149">
        <v>0</v>
      </c>
      <c r="AI126" s="149">
        <v>0</v>
      </c>
      <c r="AJ126" s="149">
        <v>0</v>
      </c>
      <c r="AK126" s="149">
        <f t="shared" si="41"/>
        <v>67000</v>
      </c>
      <c r="AL126" s="149">
        <v>0</v>
      </c>
      <c r="AM126" s="149">
        <v>0</v>
      </c>
      <c r="AN126" s="149">
        <v>0</v>
      </c>
      <c r="AO126" s="149">
        <v>0</v>
      </c>
      <c r="AP126" s="149">
        <v>0</v>
      </c>
      <c r="AQ126" s="149">
        <v>0</v>
      </c>
      <c r="AR126" s="149">
        <v>0</v>
      </c>
      <c r="AS126" s="149">
        <v>0</v>
      </c>
      <c r="AT126" s="149">
        <v>0</v>
      </c>
      <c r="AU126" s="149">
        <v>0</v>
      </c>
      <c r="AV126" s="149">
        <v>0</v>
      </c>
      <c r="AW126" s="149">
        <v>0</v>
      </c>
      <c r="AX126" s="149">
        <v>0</v>
      </c>
      <c r="AY126" s="149">
        <v>0</v>
      </c>
      <c r="AZ126" s="149">
        <v>0</v>
      </c>
      <c r="BA126" s="149">
        <v>0</v>
      </c>
      <c r="BB126" s="149">
        <v>0</v>
      </c>
      <c r="BC126" s="149">
        <v>0</v>
      </c>
      <c r="BD126" s="149">
        <v>0</v>
      </c>
      <c r="BE126" s="149">
        <v>0</v>
      </c>
      <c r="BF126" s="149">
        <v>0</v>
      </c>
      <c r="BG126" s="149">
        <v>0</v>
      </c>
      <c r="BH126" s="149">
        <v>0</v>
      </c>
      <c r="BI126" s="149">
        <v>0</v>
      </c>
      <c r="BJ126" s="149">
        <v>0</v>
      </c>
      <c r="BK126" s="149">
        <v>0</v>
      </c>
      <c r="BL126" s="149">
        <v>0</v>
      </c>
      <c r="BM126" s="149">
        <v>0</v>
      </c>
      <c r="BN126" s="149">
        <v>0</v>
      </c>
      <c r="BO126" s="149">
        <v>0</v>
      </c>
      <c r="BP126" s="149">
        <v>0</v>
      </c>
      <c r="BQ126" s="149">
        <v>0</v>
      </c>
      <c r="BR126" s="149">
        <v>0</v>
      </c>
      <c r="BS126" s="149">
        <v>0</v>
      </c>
      <c r="BT126" s="149">
        <v>0</v>
      </c>
      <c r="BU126" s="149">
        <v>0</v>
      </c>
      <c r="BV126" s="149">
        <v>0</v>
      </c>
      <c r="BW126" s="149">
        <v>0</v>
      </c>
      <c r="BX126" s="149">
        <v>0</v>
      </c>
      <c r="BY126" s="149">
        <v>0</v>
      </c>
      <c r="BZ126" s="149">
        <v>0</v>
      </c>
    </row>
    <row r="127" spans="1:78">
      <c r="A127" s="149">
        <f t="shared" si="42"/>
        <v>20705</v>
      </c>
      <c r="B127" s="154">
        <f t="shared" si="43"/>
        <v>300018</v>
      </c>
      <c r="C127" s="128" t="e">
        <f>VLOOKUP(B127,Multilingual!A:B,2,FALSE)</f>
        <v>#N/A</v>
      </c>
      <c r="D127" s="154">
        <v>0</v>
      </c>
      <c r="E127" s="154">
        <v>0</v>
      </c>
      <c r="F127" s="154">
        <f t="shared" si="44"/>
        <v>20704</v>
      </c>
      <c r="G127" s="154">
        <v>3</v>
      </c>
      <c r="H127" s="154">
        <v>1</v>
      </c>
      <c r="I127" s="154">
        <v>1</v>
      </c>
      <c r="J127" s="154">
        <v>0</v>
      </c>
      <c r="K127" s="154">
        <v>0</v>
      </c>
      <c r="L127" s="154">
        <v>0</v>
      </c>
      <c r="M127" s="154">
        <v>0</v>
      </c>
      <c r="N127" s="136">
        <v>40000</v>
      </c>
      <c r="O127" s="136">
        <v>85</v>
      </c>
      <c r="P127" s="136"/>
      <c r="Q127" s="144" t="s">
        <v>642</v>
      </c>
      <c r="R127" s="136"/>
      <c r="S127" s="154">
        <v>511005</v>
      </c>
      <c r="T127" s="149">
        <v>0</v>
      </c>
      <c r="U127" s="149">
        <v>0</v>
      </c>
      <c r="V127" s="149">
        <v>0</v>
      </c>
      <c r="W127" s="149">
        <v>0</v>
      </c>
      <c r="X127" s="149">
        <v>12</v>
      </c>
      <c r="Y127" s="149">
        <v>0</v>
      </c>
      <c r="Z127" s="149">
        <v>0</v>
      </c>
      <c r="AA127" s="149">
        <v>0</v>
      </c>
      <c r="AB127" s="149">
        <v>0</v>
      </c>
      <c r="AC127" s="149">
        <v>0</v>
      </c>
      <c r="AD127" s="149">
        <v>0</v>
      </c>
      <c r="AE127" s="149">
        <v>0</v>
      </c>
      <c r="AF127" s="149">
        <v>0</v>
      </c>
      <c r="AG127" s="149">
        <v>0</v>
      </c>
      <c r="AH127" s="149">
        <v>0</v>
      </c>
      <c r="AI127" s="149">
        <v>0</v>
      </c>
      <c r="AJ127" s="149">
        <v>0</v>
      </c>
      <c r="AK127" s="149">
        <f t="shared" si="41"/>
        <v>70000</v>
      </c>
      <c r="AL127" s="149">
        <v>0</v>
      </c>
      <c r="AM127" s="149">
        <v>0</v>
      </c>
      <c r="AN127" s="149">
        <v>0</v>
      </c>
      <c r="AO127" s="149">
        <v>0</v>
      </c>
      <c r="AP127" s="149">
        <v>0</v>
      </c>
      <c r="AQ127" s="149">
        <v>0</v>
      </c>
      <c r="AR127" s="149">
        <v>0</v>
      </c>
      <c r="AS127" s="149">
        <v>0</v>
      </c>
      <c r="AT127" s="149">
        <v>0</v>
      </c>
      <c r="AU127" s="149">
        <v>0</v>
      </c>
      <c r="AV127" s="149">
        <v>0</v>
      </c>
      <c r="AW127" s="149">
        <v>0</v>
      </c>
      <c r="AX127" s="149">
        <v>0</v>
      </c>
      <c r="AY127" s="149">
        <v>0</v>
      </c>
      <c r="AZ127" s="149">
        <v>0</v>
      </c>
      <c r="BA127" s="149">
        <v>0</v>
      </c>
      <c r="BB127" s="149">
        <v>0</v>
      </c>
      <c r="BC127" s="149">
        <v>0</v>
      </c>
      <c r="BD127" s="149">
        <v>0</v>
      </c>
      <c r="BE127" s="149">
        <v>0</v>
      </c>
      <c r="BF127" s="149">
        <v>0</v>
      </c>
      <c r="BG127" s="149">
        <v>0</v>
      </c>
      <c r="BH127" s="149">
        <v>0</v>
      </c>
      <c r="BI127" s="149">
        <v>0</v>
      </c>
      <c r="BJ127" s="149">
        <v>0</v>
      </c>
      <c r="BK127" s="149">
        <v>0</v>
      </c>
      <c r="BL127" s="149">
        <v>0</v>
      </c>
      <c r="BM127" s="149">
        <v>0</v>
      </c>
      <c r="BN127" s="149">
        <v>0</v>
      </c>
      <c r="BO127" s="149">
        <v>0</v>
      </c>
      <c r="BP127" s="149">
        <v>0</v>
      </c>
      <c r="BQ127" s="149">
        <v>0</v>
      </c>
      <c r="BR127" s="149">
        <v>0</v>
      </c>
      <c r="BS127" s="149">
        <v>0</v>
      </c>
      <c r="BT127" s="149">
        <v>0</v>
      </c>
      <c r="BU127" s="149">
        <v>0</v>
      </c>
      <c r="BV127" s="149">
        <v>0</v>
      </c>
      <c r="BW127" s="149">
        <v>0</v>
      </c>
      <c r="BX127" s="149">
        <v>0</v>
      </c>
      <c r="BY127" s="149">
        <v>0</v>
      </c>
      <c r="BZ127" s="149">
        <v>0</v>
      </c>
    </row>
    <row r="128" spans="1:78">
      <c r="A128" s="149">
        <f t="shared" si="42"/>
        <v>20706</v>
      </c>
      <c r="B128" s="154">
        <f t="shared" si="43"/>
        <v>300018</v>
      </c>
      <c r="C128" s="128" t="e">
        <f>VLOOKUP(B128,Multilingual!A:B,2,FALSE)</f>
        <v>#N/A</v>
      </c>
      <c r="D128" s="154">
        <v>0</v>
      </c>
      <c r="E128" s="154">
        <v>0</v>
      </c>
      <c r="F128" s="154">
        <f t="shared" si="44"/>
        <v>20705</v>
      </c>
      <c r="G128" s="154">
        <v>3</v>
      </c>
      <c r="H128" s="154">
        <v>1</v>
      </c>
      <c r="I128" s="154">
        <v>1</v>
      </c>
      <c r="J128" s="154">
        <v>0</v>
      </c>
      <c r="K128" s="154">
        <v>0</v>
      </c>
      <c r="L128" s="154">
        <v>0</v>
      </c>
      <c r="M128" s="154">
        <v>0</v>
      </c>
      <c r="N128" s="136">
        <v>40000</v>
      </c>
      <c r="O128" s="136">
        <v>85</v>
      </c>
      <c r="P128" s="136"/>
      <c r="Q128" s="144" t="s">
        <v>642</v>
      </c>
      <c r="R128" s="136"/>
      <c r="S128" s="154">
        <v>511006</v>
      </c>
      <c r="T128" s="149">
        <v>0</v>
      </c>
      <c r="U128" s="149">
        <v>0</v>
      </c>
      <c r="V128" s="149">
        <v>0</v>
      </c>
      <c r="W128" s="149">
        <v>0</v>
      </c>
      <c r="X128" s="149">
        <v>12</v>
      </c>
      <c r="Y128" s="149">
        <v>0</v>
      </c>
      <c r="Z128" s="149">
        <v>0</v>
      </c>
      <c r="AA128" s="149">
        <v>0</v>
      </c>
      <c r="AB128" s="149">
        <v>0</v>
      </c>
      <c r="AC128" s="149">
        <v>0</v>
      </c>
      <c r="AD128" s="149">
        <v>0</v>
      </c>
      <c r="AE128" s="149">
        <v>0</v>
      </c>
      <c r="AF128" s="149">
        <v>0</v>
      </c>
      <c r="AG128" s="149">
        <v>0</v>
      </c>
      <c r="AH128" s="149">
        <v>0</v>
      </c>
      <c r="AI128" s="149">
        <v>0</v>
      </c>
      <c r="AJ128" s="149">
        <v>0</v>
      </c>
      <c r="AK128" s="149">
        <f t="shared" si="41"/>
        <v>73000</v>
      </c>
      <c r="AL128" s="149">
        <v>0</v>
      </c>
      <c r="AM128" s="149">
        <v>0</v>
      </c>
      <c r="AN128" s="149">
        <v>0</v>
      </c>
      <c r="AO128" s="149">
        <v>0</v>
      </c>
      <c r="AP128" s="149">
        <v>0</v>
      </c>
      <c r="AQ128" s="149">
        <v>0</v>
      </c>
      <c r="AR128" s="149">
        <v>0</v>
      </c>
      <c r="AS128" s="149">
        <v>0</v>
      </c>
      <c r="AT128" s="149">
        <v>0</v>
      </c>
      <c r="AU128" s="149">
        <v>0</v>
      </c>
      <c r="AV128" s="149">
        <v>0</v>
      </c>
      <c r="AW128" s="149">
        <v>0</v>
      </c>
      <c r="AX128" s="149">
        <v>0</v>
      </c>
      <c r="AY128" s="149">
        <v>0</v>
      </c>
      <c r="AZ128" s="149">
        <v>0</v>
      </c>
      <c r="BA128" s="149">
        <v>0</v>
      </c>
      <c r="BB128" s="149">
        <v>0</v>
      </c>
      <c r="BC128" s="149">
        <v>0</v>
      </c>
      <c r="BD128" s="149">
        <v>0</v>
      </c>
      <c r="BE128" s="149">
        <v>0</v>
      </c>
      <c r="BF128" s="149">
        <v>0</v>
      </c>
      <c r="BG128" s="149">
        <v>0</v>
      </c>
      <c r="BH128" s="149">
        <v>0</v>
      </c>
      <c r="BI128" s="149">
        <v>0</v>
      </c>
      <c r="BJ128" s="149">
        <v>0</v>
      </c>
      <c r="BK128" s="149">
        <v>0</v>
      </c>
      <c r="BL128" s="149">
        <v>0</v>
      </c>
      <c r="BM128" s="149">
        <v>0</v>
      </c>
      <c r="BN128" s="149">
        <v>0</v>
      </c>
      <c r="BO128" s="149">
        <v>0</v>
      </c>
      <c r="BP128" s="149">
        <v>0</v>
      </c>
      <c r="BQ128" s="149">
        <v>0</v>
      </c>
      <c r="BR128" s="149">
        <v>0</v>
      </c>
      <c r="BS128" s="149">
        <v>0</v>
      </c>
      <c r="BT128" s="149">
        <v>0</v>
      </c>
      <c r="BU128" s="149">
        <v>0</v>
      </c>
      <c r="BV128" s="149">
        <v>0</v>
      </c>
      <c r="BW128" s="149">
        <v>0</v>
      </c>
      <c r="BX128" s="149">
        <v>0</v>
      </c>
      <c r="BY128" s="149">
        <v>0</v>
      </c>
      <c r="BZ128" s="149">
        <v>0</v>
      </c>
    </row>
    <row r="129" spans="1:78">
      <c r="A129" s="149">
        <f t="shared" si="42"/>
        <v>20707</v>
      </c>
      <c r="B129" s="154">
        <f t="shared" si="43"/>
        <v>300018</v>
      </c>
      <c r="C129" s="128" t="e">
        <f>VLOOKUP(B129,Multilingual!A:B,2,FALSE)</f>
        <v>#N/A</v>
      </c>
      <c r="D129" s="154">
        <v>0</v>
      </c>
      <c r="E129" s="154">
        <v>0</v>
      </c>
      <c r="F129" s="154">
        <f t="shared" si="44"/>
        <v>20706</v>
      </c>
      <c r="G129" s="154">
        <v>3</v>
      </c>
      <c r="H129" s="154">
        <v>1</v>
      </c>
      <c r="I129" s="154">
        <v>1</v>
      </c>
      <c r="J129" s="154">
        <v>0</v>
      </c>
      <c r="K129" s="154">
        <v>0</v>
      </c>
      <c r="L129" s="154">
        <v>0</v>
      </c>
      <c r="M129" s="154">
        <v>0</v>
      </c>
      <c r="N129" s="136">
        <v>40000</v>
      </c>
      <c r="O129" s="136">
        <v>85</v>
      </c>
      <c r="P129" s="136"/>
      <c r="Q129" s="144" t="s">
        <v>642</v>
      </c>
      <c r="R129" s="136"/>
      <c r="S129" s="154">
        <v>511007</v>
      </c>
      <c r="T129" s="149">
        <v>0</v>
      </c>
      <c r="U129" s="149">
        <v>0</v>
      </c>
      <c r="V129" s="149">
        <v>0</v>
      </c>
      <c r="W129" s="149">
        <v>0</v>
      </c>
      <c r="X129" s="149">
        <v>12</v>
      </c>
      <c r="Y129" s="149">
        <v>0</v>
      </c>
      <c r="Z129" s="149">
        <v>0</v>
      </c>
      <c r="AA129" s="149">
        <v>0</v>
      </c>
      <c r="AB129" s="149">
        <v>0</v>
      </c>
      <c r="AC129" s="149">
        <v>0</v>
      </c>
      <c r="AD129" s="149">
        <v>0</v>
      </c>
      <c r="AE129" s="149">
        <v>0</v>
      </c>
      <c r="AF129" s="149">
        <v>0</v>
      </c>
      <c r="AG129" s="149">
        <v>0</v>
      </c>
      <c r="AH129" s="149">
        <v>0</v>
      </c>
      <c r="AI129" s="149">
        <v>0</v>
      </c>
      <c r="AJ129" s="149">
        <v>0</v>
      </c>
      <c r="AK129" s="149">
        <f t="shared" si="41"/>
        <v>76000</v>
      </c>
      <c r="AL129" s="149">
        <v>0</v>
      </c>
      <c r="AM129" s="149">
        <v>0</v>
      </c>
      <c r="AN129" s="149">
        <v>0</v>
      </c>
      <c r="AO129" s="149">
        <v>0</v>
      </c>
      <c r="AP129" s="149">
        <v>0</v>
      </c>
      <c r="AQ129" s="149">
        <v>0</v>
      </c>
      <c r="AR129" s="149">
        <v>0</v>
      </c>
      <c r="AS129" s="149">
        <v>0</v>
      </c>
      <c r="AT129" s="149">
        <v>0</v>
      </c>
      <c r="AU129" s="149">
        <v>0</v>
      </c>
      <c r="AV129" s="149">
        <v>0</v>
      </c>
      <c r="AW129" s="149">
        <v>0</v>
      </c>
      <c r="AX129" s="149">
        <v>0</v>
      </c>
      <c r="AY129" s="149">
        <v>0</v>
      </c>
      <c r="AZ129" s="149">
        <v>0</v>
      </c>
      <c r="BA129" s="149">
        <v>0</v>
      </c>
      <c r="BB129" s="149">
        <v>0</v>
      </c>
      <c r="BC129" s="149">
        <v>0</v>
      </c>
      <c r="BD129" s="149">
        <v>0</v>
      </c>
      <c r="BE129" s="149">
        <v>0</v>
      </c>
      <c r="BF129" s="149">
        <v>0</v>
      </c>
      <c r="BG129" s="149">
        <v>0</v>
      </c>
      <c r="BH129" s="149">
        <v>0</v>
      </c>
      <c r="BI129" s="149">
        <v>0</v>
      </c>
      <c r="BJ129" s="149">
        <v>0</v>
      </c>
      <c r="BK129" s="149">
        <v>0</v>
      </c>
      <c r="BL129" s="149">
        <v>0</v>
      </c>
      <c r="BM129" s="149">
        <v>0</v>
      </c>
      <c r="BN129" s="149">
        <v>0</v>
      </c>
      <c r="BO129" s="149">
        <v>0</v>
      </c>
      <c r="BP129" s="149">
        <v>0</v>
      </c>
      <c r="BQ129" s="149">
        <v>0</v>
      </c>
      <c r="BR129" s="149">
        <v>0</v>
      </c>
      <c r="BS129" s="149">
        <v>0</v>
      </c>
      <c r="BT129" s="149">
        <v>0</v>
      </c>
      <c r="BU129" s="149">
        <v>0</v>
      </c>
      <c r="BV129" s="149">
        <v>0</v>
      </c>
      <c r="BW129" s="149">
        <v>0</v>
      </c>
      <c r="BX129" s="149">
        <v>0</v>
      </c>
      <c r="BY129" s="149">
        <v>0</v>
      </c>
      <c r="BZ129" s="149">
        <v>0</v>
      </c>
    </row>
    <row r="130" spans="1:78">
      <c r="A130" s="149">
        <f t="shared" si="42"/>
        <v>20708</v>
      </c>
      <c r="B130" s="154">
        <f t="shared" si="43"/>
        <v>300018</v>
      </c>
      <c r="C130" s="128" t="e">
        <f>VLOOKUP(B130,Multilingual!A:B,2,FALSE)</f>
        <v>#N/A</v>
      </c>
      <c r="D130" s="154">
        <v>0</v>
      </c>
      <c r="E130" s="154">
        <v>0</v>
      </c>
      <c r="F130" s="154">
        <f t="shared" si="44"/>
        <v>20707</v>
      </c>
      <c r="G130" s="154">
        <v>3</v>
      </c>
      <c r="H130" s="154">
        <v>1</v>
      </c>
      <c r="I130" s="154">
        <v>1</v>
      </c>
      <c r="J130" s="154">
        <v>0</v>
      </c>
      <c r="K130" s="154">
        <v>0</v>
      </c>
      <c r="L130" s="154">
        <v>0</v>
      </c>
      <c r="M130" s="154">
        <v>0</v>
      </c>
      <c r="N130" s="136">
        <v>40000</v>
      </c>
      <c r="O130" s="136">
        <v>85</v>
      </c>
      <c r="P130" s="136"/>
      <c r="Q130" s="144" t="s">
        <v>642</v>
      </c>
      <c r="R130" s="136"/>
      <c r="S130" s="154">
        <v>511008</v>
      </c>
      <c r="T130" s="149">
        <v>0</v>
      </c>
      <c r="U130" s="149">
        <v>0</v>
      </c>
      <c r="V130" s="149">
        <v>0</v>
      </c>
      <c r="W130" s="149">
        <v>0</v>
      </c>
      <c r="X130" s="149">
        <v>12</v>
      </c>
      <c r="Y130" s="149">
        <v>0</v>
      </c>
      <c r="Z130" s="149">
        <v>0</v>
      </c>
      <c r="AA130" s="149">
        <v>0</v>
      </c>
      <c r="AB130" s="149">
        <v>0</v>
      </c>
      <c r="AC130" s="149">
        <v>0</v>
      </c>
      <c r="AD130" s="149">
        <v>0</v>
      </c>
      <c r="AE130" s="149">
        <v>0</v>
      </c>
      <c r="AF130" s="149">
        <v>0</v>
      </c>
      <c r="AG130" s="149">
        <v>0</v>
      </c>
      <c r="AH130" s="149">
        <v>0</v>
      </c>
      <c r="AI130" s="149">
        <v>0</v>
      </c>
      <c r="AJ130" s="149">
        <v>0</v>
      </c>
      <c r="AK130" s="149">
        <f t="shared" si="41"/>
        <v>79000</v>
      </c>
      <c r="AL130" s="149">
        <v>0</v>
      </c>
      <c r="AM130" s="149">
        <v>0</v>
      </c>
      <c r="AN130" s="149">
        <v>0</v>
      </c>
      <c r="AO130" s="149">
        <v>0</v>
      </c>
      <c r="AP130" s="149">
        <v>0</v>
      </c>
      <c r="AQ130" s="149">
        <v>0</v>
      </c>
      <c r="AR130" s="149">
        <v>0</v>
      </c>
      <c r="AS130" s="149">
        <v>0</v>
      </c>
      <c r="AT130" s="149">
        <v>0</v>
      </c>
      <c r="AU130" s="149">
        <v>0</v>
      </c>
      <c r="AV130" s="149">
        <v>0</v>
      </c>
      <c r="AW130" s="149">
        <v>0</v>
      </c>
      <c r="AX130" s="149">
        <v>0</v>
      </c>
      <c r="AY130" s="149">
        <v>0</v>
      </c>
      <c r="AZ130" s="149">
        <v>0</v>
      </c>
      <c r="BA130" s="149">
        <v>0</v>
      </c>
      <c r="BB130" s="149">
        <v>0</v>
      </c>
      <c r="BC130" s="149">
        <v>0</v>
      </c>
      <c r="BD130" s="149">
        <v>0</v>
      </c>
      <c r="BE130" s="149">
        <v>0</v>
      </c>
      <c r="BF130" s="149">
        <v>0</v>
      </c>
      <c r="BG130" s="149">
        <v>0</v>
      </c>
      <c r="BH130" s="149">
        <v>0</v>
      </c>
      <c r="BI130" s="149">
        <v>0</v>
      </c>
      <c r="BJ130" s="149">
        <v>0</v>
      </c>
      <c r="BK130" s="149">
        <v>0</v>
      </c>
      <c r="BL130" s="149">
        <v>0</v>
      </c>
      <c r="BM130" s="149">
        <v>0</v>
      </c>
      <c r="BN130" s="149">
        <v>0</v>
      </c>
      <c r="BO130" s="149">
        <v>0</v>
      </c>
      <c r="BP130" s="149">
        <v>0</v>
      </c>
      <c r="BQ130" s="149">
        <v>0</v>
      </c>
      <c r="BR130" s="149">
        <v>0</v>
      </c>
      <c r="BS130" s="149">
        <v>0</v>
      </c>
      <c r="BT130" s="149">
        <v>0</v>
      </c>
      <c r="BU130" s="149">
        <v>0</v>
      </c>
      <c r="BV130" s="149">
        <v>0</v>
      </c>
      <c r="BW130" s="149">
        <v>0</v>
      </c>
      <c r="BX130" s="149">
        <v>0</v>
      </c>
      <c r="BY130" s="149">
        <v>0</v>
      </c>
      <c r="BZ130" s="149">
        <v>0</v>
      </c>
    </row>
    <row r="131" spans="1:78">
      <c r="A131" s="149">
        <f t="shared" si="42"/>
        <v>20709</v>
      </c>
      <c r="B131" s="154">
        <f t="shared" si="43"/>
        <v>300018</v>
      </c>
      <c r="C131" s="128" t="e">
        <f>VLOOKUP(B131,Multilingual!A:B,2,FALSE)</f>
        <v>#N/A</v>
      </c>
      <c r="D131" s="154">
        <v>0</v>
      </c>
      <c r="E131" s="154">
        <v>0</v>
      </c>
      <c r="F131" s="154">
        <f t="shared" si="44"/>
        <v>20708</v>
      </c>
      <c r="G131" s="154">
        <v>3</v>
      </c>
      <c r="H131" s="154">
        <v>1</v>
      </c>
      <c r="I131" s="154">
        <v>1</v>
      </c>
      <c r="J131" s="154">
        <v>0</v>
      </c>
      <c r="K131" s="154">
        <v>0</v>
      </c>
      <c r="L131" s="154">
        <v>0</v>
      </c>
      <c r="M131" s="154">
        <v>0</v>
      </c>
      <c r="N131" s="136">
        <v>40000</v>
      </c>
      <c r="O131" s="136">
        <v>85</v>
      </c>
      <c r="P131" s="136"/>
      <c r="Q131" s="144" t="s">
        <v>642</v>
      </c>
      <c r="R131" s="136"/>
      <c r="S131" s="154">
        <v>511009</v>
      </c>
      <c r="T131" s="149">
        <v>0</v>
      </c>
      <c r="U131" s="149">
        <v>0</v>
      </c>
      <c r="V131" s="149">
        <v>0</v>
      </c>
      <c r="W131" s="149">
        <v>0</v>
      </c>
      <c r="X131" s="149">
        <v>12</v>
      </c>
      <c r="Y131" s="149">
        <v>0</v>
      </c>
      <c r="Z131" s="149">
        <v>0</v>
      </c>
      <c r="AA131" s="149">
        <v>0</v>
      </c>
      <c r="AB131" s="149">
        <v>0</v>
      </c>
      <c r="AC131" s="149">
        <v>0</v>
      </c>
      <c r="AD131" s="149">
        <v>0</v>
      </c>
      <c r="AE131" s="149">
        <v>0</v>
      </c>
      <c r="AF131" s="149">
        <v>0</v>
      </c>
      <c r="AG131" s="149">
        <v>0</v>
      </c>
      <c r="AH131" s="149">
        <v>0</v>
      </c>
      <c r="AI131" s="149">
        <v>0</v>
      </c>
      <c r="AJ131" s="149">
        <v>0</v>
      </c>
      <c r="AK131" s="149">
        <f>AK132-3000</f>
        <v>82000</v>
      </c>
      <c r="AL131" s="149">
        <v>0</v>
      </c>
      <c r="AM131" s="149">
        <v>0</v>
      </c>
      <c r="AN131" s="149">
        <v>0</v>
      </c>
      <c r="AO131" s="149">
        <v>0</v>
      </c>
      <c r="AP131" s="149">
        <v>0</v>
      </c>
      <c r="AQ131" s="149">
        <v>0</v>
      </c>
      <c r="AR131" s="149">
        <v>0</v>
      </c>
      <c r="AS131" s="149">
        <v>0</v>
      </c>
      <c r="AT131" s="149">
        <v>0</v>
      </c>
      <c r="AU131" s="149">
        <v>0</v>
      </c>
      <c r="AV131" s="149">
        <v>0</v>
      </c>
      <c r="AW131" s="149">
        <v>0</v>
      </c>
      <c r="AX131" s="149">
        <v>0</v>
      </c>
      <c r="AY131" s="149">
        <v>0</v>
      </c>
      <c r="AZ131" s="149">
        <v>0</v>
      </c>
      <c r="BA131" s="149">
        <v>0</v>
      </c>
      <c r="BB131" s="149">
        <v>0</v>
      </c>
      <c r="BC131" s="149">
        <v>0</v>
      </c>
      <c r="BD131" s="149">
        <v>0</v>
      </c>
      <c r="BE131" s="149">
        <v>0</v>
      </c>
      <c r="BF131" s="149">
        <v>0</v>
      </c>
      <c r="BG131" s="149">
        <v>0</v>
      </c>
      <c r="BH131" s="149">
        <v>0</v>
      </c>
      <c r="BI131" s="149">
        <v>0</v>
      </c>
      <c r="BJ131" s="149">
        <v>0</v>
      </c>
      <c r="BK131" s="149">
        <v>0</v>
      </c>
      <c r="BL131" s="149">
        <v>0</v>
      </c>
      <c r="BM131" s="149">
        <v>0</v>
      </c>
      <c r="BN131" s="149">
        <v>0</v>
      </c>
      <c r="BO131" s="149">
        <v>0</v>
      </c>
      <c r="BP131" s="149">
        <v>0</v>
      </c>
      <c r="BQ131" s="149">
        <v>0</v>
      </c>
      <c r="BR131" s="149">
        <v>0</v>
      </c>
      <c r="BS131" s="149">
        <v>0</v>
      </c>
      <c r="BT131" s="149">
        <v>0</v>
      </c>
      <c r="BU131" s="149">
        <v>0</v>
      </c>
      <c r="BV131" s="149">
        <v>0</v>
      </c>
      <c r="BW131" s="149">
        <v>0</v>
      </c>
      <c r="BX131" s="149">
        <v>0</v>
      </c>
      <c r="BY131" s="149">
        <v>0</v>
      </c>
      <c r="BZ131" s="149">
        <v>0</v>
      </c>
    </row>
    <row r="132" spans="1:78">
      <c r="A132" s="149">
        <f t="shared" si="42"/>
        <v>20710</v>
      </c>
      <c r="B132" s="154">
        <f t="shared" si="43"/>
        <v>300018</v>
      </c>
      <c r="C132" s="128" t="e">
        <f>VLOOKUP(B132,Multilingual!A:B,2,FALSE)</f>
        <v>#N/A</v>
      </c>
      <c r="D132" s="154">
        <v>0</v>
      </c>
      <c r="E132" s="154">
        <v>0</v>
      </c>
      <c r="F132" s="154">
        <f t="shared" si="44"/>
        <v>20709</v>
      </c>
      <c r="G132" s="154">
        <v>3</v>
      </c>
      <c r="H132" s="154">
        <v>1</v>
      </c>
      <c r="I132" s="154">
        <v>1</v>
      </c>
      <c r="J132" s="154">
        <v>0</v>
      </c>
      <c r="K132" s="154">
        <v>0</v>
      </c>
      <c r="L132" s="154">
        <v>0</v>
      </c>
      <c r="M132" s="154">
        <v>0</v>
      </c>
      <c r="N132" s="136">
        <v>40000</v>
      </c>
      <c r="O132" s="136">
        <v>85</v>
      </c>
      <c r="P132" s="136"/>
      <c r="Q132" s="144" t="s">
        <v>642</v>
      </c>
      <c r="R132" s="136"/>
      <c r="S132" s="154">
        <v>511010</v>
      </c>
      <c r="T132" s="149">
        <v>0</v>
      </c>
      <c r="U132" s="149">
        <v>0</v>
      </c>
      <c r="V132" s="149">
        <v>0</v>
      </c>
      <c r="W132" s="149">
        <v>0</v>
      </c>
      <c r="X132" s="149">
        <v>12</v>
      </c>
      <c r="Y132" s="149">
        <v>0</v>
      </c>
      <c r="Z132" s="149">
        <v>0</v>
      </c>
      <c r="AA132" s="149">
        <v>0</v>
      </c>
      <c r="AB132" s="149">
        <v>0</v>
      </c>
      <c r="AC132" s="149">
        <v>0</v>
      </c>
      <c r="AD132" s="149">
        <v>0</v>
      </c>
      <c r="AE132" s="149">
        <v>0</v>
      </c>
      <c r="AF132" s="149">
        <v>0</v>
      </c>
      <c r="AG132" s="149">
        <v>0</v>
      </c>
      <c r="AH132" s="149">
        <v>0</v>
      </c>
      <c r="AI132" s="149">
        <v>0</v>
      </c>
      <c r="AJ132" s="149">
        <v>0</v>
      </c>
      <c r="AK132" s="149">
        <v>85000</v>
      </c>
      <c r="AL132" s="149">
        <v>0</v>
      </c>
      <c r="AM132" s="149">
        <v>0</v>
      </c>
      <c r="AN132" s="149">
        <v>0</v>
      </c>
      <c r="AO132" s="149">
        <v>0</v>
      </c>
      <c r="AP132" s="149">
        <v>0</v>
      </c>
      <c r="AQ132" s="149">
        <v>0</v>
      </c>
      <c r="AR132" s="149">
        <v>0</v>
      </c>
      <c r="AS132" s="149">
        <v>0</v>
      </c>
      <c r="AT132" s="149">
        <v>0</v>
      </c>
      <c r="AU132" s="149">
        <v>0</v>
      </c>
      <c r="AV132" s="149">
        <v>0</v>
      </c>
      <c r="AW132" s="149">
        <v>0</v>
      </c>
      <c r="AX132" s="149">
        <v>0</v>
      </c>
      <c r="AY132" s="149">
        <v>0</v>
      </c>
      <c r="AZ132" s="149">
        <v>0</v>
      </c>
      <c r="BA132" s="149">
        <v>0</v>
      </c>
      <c r="BB132" s="149">
        <v>0</v>
      </c>
      <c r="BC132" s="149">
        <v>0</v>
      </c>
      <c r="BD132" s="149">
        <v>0</v>
      </c>
      <c r="BE132" s="149">
        <v>0</v>
      </c>
      <c r="BF132" s="149">
        <v>0</v>
      </c>
      <c r="BG132" s="149">
        <v>0</v>
      </c>
      <c r="BH132" s="149">
        <v>0</v>
      </c>
      <c r="BI132" s="149">
        <v>0</v>
      </c>
      <c r="BJ132" s="149">
        <v>0</v>
      </c>
      <c r="BK132" s="149">
        <v>0</v>
      </c>
      <c r="BL132" s="149">
        <v>0</v>
      </c>
      <c r="BM132" s="149">
        <v>0</v>
      </c>
      <c r="BN132" s="149">
        <v>0</v>
      </c>
      <c r="BO132" s="149">
        <v>0</v>
      </c>
      <c r="BP132" s="149">
        <v>0</v>
      </c>
      <c r="BQ132" s="149">
        <v>0</v>
      </c>
      <c r="BR132" s="149">
        <v>0</v>
      </c>
      <c r="BS132" s="149">
        <v>0</v>
      </c>
      <c r="BT132" s="149">
        <v>0</v>
      </c>
      <c r="BU132" s="149">
        <v>0</v>
      </c>
      <c r="BV132" s="149">
        <v>0</v>
      </c>
      <c r="BW132" s="149">
        <v>0</v>
      </c>
      <c r="BX132" s="149">
        <v>0</v>
      </c>
      <c r="BY132" s="149">
        <v>0</v>
      </c>
      <c r="BZ132" s="149">
        <v>0</v>
      </c>
    </row>
    <row r="133" spans="1:78" s="137" customFormat="1">
      <c r="A133" s="130" t="s">
        <v>1112</v>
      </c>
      <c r="B133" s="127"/>
    </row>
    <row r="134" spans="1:78">
      <c r="A134" s="149">
        <v>100001</v>
      </c>
      <c r="B134" s="149">
        <v>0</v>
      </c>
      <c r="C134" s="133" t="str">
        <f>VLOOKUP(A134,Multilingual!A:B,2,FALSE)</f>
        <v>저급 투구</v>
      </c>
      <c r="D134" s="149">
        <v>0</v>
      </c>
      <c r="E134" s="149">
        <v>0</v>
      </c>
      <c r="F134" s="149">
        <v>0</v>
      </c>
      <c r="G134" s="149">
        <v>0</v>
      </c>
      <c r="H134" s="149">
        <v>0</v>
      </c>
      <c r="I134" s="149">
        <v>0</v>
      </c>
      <c r="J134" s="149">
        <v>0</v>
      </c>
      <c r="K134" s="149">
        <v>0</v>
      </c>
      <c r="L134" s="149">
        <v>0</v>
      </c>
      <c r="M134" s="149">
        <v>0</v>
      </c>
      <c r="N134" s="149">
        <v>0</v>
      </c>
      <c r="O134" s="149">
        <v>0</v>
      </c>
      <c r="S134" s="149">
        <v>0</v>
      </c>
      <c r="T134" s="149">
        <v>0</v>
      </c>
      <c r="U134" s="149">
        <v>0</v>
      </c>
      <c r="V134" s="149">
        <v>0</v>
      </c>
      <c r="W134" s="149">
        <v>0</v>
      </c>
      <c r="X134" s="149">
        <v>0</v>
      </c>
      <c r="Y134" s="149">
        <v>0</v>
      </c>
      <c r="Z134" s="149">
        <v>0</v>
      </c>
      <c r="AA134" s="149">
        <v>0</v>
      </c>
      <c r="AB134" s="149">
        <v>0</v>
      </c>
      <c r="AC134" s="149">
        <v>0</v>
      </c>
      <c r="AD134" s="149">
        <v>0</v>
      </c>
      <c r="AE134" s="149">
        <v>0</v>
      </c>
      <c r="AF134" s="149">
        <v>0</v>
      </c>
      <c r="AG134" s="149">
        <v>0</v>
      </c>
      <c r="AH134" s="149">
        <v>0</v>
      </c>
      <c r="AI134" s="149">
        <v>0</v>
      </c>
      <c r="AJ134" s="149">
        <v>0</v>
      </c>
      <c r="AK134" s="149">
        <v>0</v>
      </c>
      <c r="AL134" s="149">
        <v>0</v>
      </c>
      <c r="AM134" s="149">
        <v>0</v>
      </c>
      <c r="AN134" s="149">
        <v>0</v>
      </c>
      <c r="AO134" s="149">
        <v>0</v>
      </c>
      <c r="AP134" s="149">
        <v>0</v>
      </c>
      <c r="AQ134" s="149">
        <v>0</v>
      </c>
      <c r="AR134" s="149">
        <v>0</v>
      </c>
      <c r="AS134" s="149">
        <v>0</v>
      </c>
      <c r="AT134" s="149">
        <v>0</v>
      </c>
      <c r="AU134" s="149">
        <v>0</v>
      </c>
      <c r="AV134" s="149">
        <v>0</v>
      </c>
      <c r="AW134" s="149">
        <v>0</v>
      </c>
      <c r="AX134" s="149">
        <v>0</v>
      </c>
      <c r="AY134" s="149">
        <v>0</v>
      </c>
      <c r="AZ134" s="149">
        <v>0</v>
      </c>
      <c r="BA134" s="149">
        <v>0</v>
      </c>
      <c r="BB134" s="149">
        <v>0</v>
      </c>
      <c r="BC134" s="149">
        <v>0</v>
      </c>
      <c r="BD134" s="149">
        <v>0</v>
      </c>
      <c r="BE134" s="149">
        <v>0</v>
      </c>
      <c r="BF134" s="149">
        <v>0</v>
      </c>
      <c r="BG134" s="149">
        <v>0</v>
      </c>
      <c r="BH134" s="149">
        <v>0</v>
      </c>
      <c r="BI134" s="149">
        <v>0</v>
      </c>
      <c r="BJ134" s="149">
        <v>0</v>
      </c>
      <c r="BK134" s="149">
        <v>0</v>
      </c>
      <c r="BL134" s="149">
        <v>0</v>
      </c>
      <c r="BM134" s="149">
        <v>0</v>
      </c>
      <c r="BN134" s="149">
        <v>0</v>
      </c>
      <c r="BO134" s="149">
        <v>0</v>
      </c>
      <c r="BP134" s="149">
        <v>0</v>
      </c>
      <c r="BQ134" s="149">
        <v>0</v>
      </c>
      <c r="BR134" s="149">
        <v>0</v>
      </c>
      <c r="BS134" s="149">
        <v>0</v>
      </c>
      <c r="BT134" s="149">
        <v>0</v>
      </c>
      <c r="BU134" s="149">
        <v>0</v>
      </c>
      <c r="BV134" s="149">
        <v>0</v>
      </c>
      <c r="BW134" s="149">
        <v>0</v>
      </c>
      <c r="BX134" s="149">
        <v>0</v>
      </c>
      <c r="BY134" s="149">
        <v>0</v>
      </c>
      <c r="BZ134" s="149">
        <v>0</v>
      </c>
    </row>
    <row r="135" spans="1:78" s="137" customFormat="1">
      <c r="A135" s="130" t="s">
        <v>1113</v>
      </c>
      <c r="B135" s="127"/>
    </row>
    <row r="136" spans="1:78">
      <c r="A136" s="149">
        <v>120001</v>
      </c>
      <c r="B136" s="149">
        <v>0</v>
      </c>
      <c r="C136" s="133" t="e">
        <f>VLOOKUP(A136,Multilingual!A:B,2,FALSE)</f>
        <v>#N/A</v>
      </c>
      <c r="D136" s="149">
        <v>0</v>
      </c>
      <c r="E136" s="149">
        <v>0</v>
      </c>
      <c r="F136" s="149">
        <v>0</v>
      </c>
      <c r="G136" s="149">
        <v>0</v>
      </c>
      <c r="H136" s="149">
        <v>0</v>
      </c>
      <c r="I136" s="149">
        <v>0</v>
      </c>
      <c r="J136" s="149">
        <v>0</v>
      </c>
      <c r="K136" s="149">
        <v>0</v>
      </c>
      <c r="L136" s="149">
        <v>0</v>
      </c>
      <c r="M136" s="149">
        <v>0</v>
      </c>
      <c r="N136" s="149">
        <v>0</v>
      </c>
      <c r="O136" s="149">
        <v>0</v>
      </c>
      <c r="S136" s="149">
        <v>0</v>
      </c>
      <c r="T136" s="149">
        <v>0</v>
      </c>
      <c r="U136" s="149">
        <v>0</v>
      </c>
      <c r="V136" s="149">
        <v>0</v>
      </c>
      <c r="W136" s="149">
        <v>0</v>
      </c>
      <c r="X136" s="149">
        <v>0</v>
      </c>
      <c r="Y136" s="149">
        <v>0</v>
      </c>
      <c r="Z136" s="149">
        <v>0</v>
      </c>
      <c r="AA136" s="149">
        <v>0</v>
      </c>
      <c r="AB136" s="149">
        <v>0</v>
      </c>
      <c r="AC136" s="149">
        <v>0</v>
      </c>
      <c r="AD136" s="149">
        <v>0</v>
      </c>
      <c r="AE136" s="149">
        <v>0</v>
      </c>
      <c r="AF136" s="149">
        <v>0</v>
      </c>
      <c r="AG136" s="149">
        <v>0</v>
      </c>
      <c r="AH136" s="149">
        <v>0</v>
      </c>
      <c r="AI136" s="149">
        <v>0</v>
      </c>
      <c r="AJ136" s="149">
        <v>0</v>
      </c>
      <c r="AK136" s="149">
        <v>0</v>
      </c>
      <c r="AL136" s="149">
        <v>0</v>
      </c>
      <c r="AM136" s="149">
        <v>0</v>
      </c>
      <c r="AN136" s="149">
        <v>0</v>
      </c>
      <c r="AO136" s="149">
        <v>0</v>
      </c>
      <c r="AP136" s="149">
        <v>0</v>
      </c>
      <c r="AQ136" s="149">
        <v>0</v>
      </c>
      <c r="AR136" s="149">
        <v>0</v>
      </c>
      <c r="AS136" s="149">
        <v>0</v>
      </c>
      <c r="AT136" s="149">
        <v>0</v>
      </c>
      <c r="AU136" s="149">
        <v>0</v>
      </c>
      <c r="AV136" s="149">
        <v>0</v>
      </c>
      <c r="AW136" s="149">
        <v>0</v>
      </c>
      <c r="AX136" s="149">
        <v>0</v>
      </c>
      <c r="AY136" s="149">
        <v>0</v>
      </c>
      <c r="AZ136" s="149">
        <v>0</v>
      </c>
      <c r="BA136" s="149">
        <v>0</v>
      </c>
      <c r="BB136" s="149">
        <v>0</v>
      </c>
      <c r="BC136" s="149">
        <v>0</v>
      </c>
      <c r="BD136" s="149">
        <v>0</v>
      </c>
      <c r="BE136" s="149">
        <v>0</v>
      </c>
      <c r="BF136" s="149">
        <v>0</v>
      </c>
      <c r="BG136" s="149">
        <v>0</v>
      </c>
      <c r="BH136" s="149">
        <v>0</v>
      </c>
      <c r="BI136" s="149">
        <v>0</v>
      </c>
      <c r="BJ136" s="149">
        <v>0</v>
      </c>
      <c r="BK136" s="149">
        <v>0</v>
      </c>
      <c r="BL136" s="149">
        <v>0</v>
      </c>
      <c r="BM136" s="149">
        <v>0</v>
      </c>
      <c r="BN136" s="149">
        <v>0</v>
      </c>
      <c r="BO136" s="149">
        <v>0</v>
      </c>
      <c r="BP136" s="149">
        <v>0</v>
      </c>
      <c r="BQ136" s="149">
        <v>0</v>
      </c>
      <c r="BR136" s="149">
        <v>0</v>
      </c>
      <c r="BS136" s="149">
        <v>0</v>
      </c>
      <c r="BT136" s="149">
        <v>0</v>
      </c>
      <c r="BU136" s="149">
        <v>0</v>
      </c>
      <c r="BV136" s="149">
        <v>0</v>
      </c>
      <c r="BW136" s="149">
        <v>0</v>
      </c>
      <c r="BX136" s="149">
        <v>0</v>
      </c>
      <c r="BY136" s="149">
        <v>0</v>
      </c>
      <c r="BZ136" s="149">
        <v>0</v>
      </c>
    </row>
    <row r="137" spans="1:78" s="137" customFormat="1">
      <c r="A137" s="130" t="s">
        <v>1114</v>
      </c>
      <c r="B137" s="127"/>
    </row>
    <row r="138" spans="1:78">
      <c r="A138" s="149">
        <v>140001</v>
      </c>
      <c r="B138" s="149">
        <v>0</v>
      </c>
      <c r="C138" s="133" t="e">
        <f>VLOOKUP(A138,Multilingual!A:B,2,FALSE)</f>
        <v>#N/A</v>
      </c>
      <c r="D138" s="149">
        <v>0</v>
      </c>
      <c r="E138" s="149">
        <v>0</v>
      </c>
      <c r="F138" s="149">
        <v>0</v>
      </c>
      <c r="G138" s="149">
        <v>0</v>
      </c>
      <c r="H138" s="149">
        <v>0</v>
      </c>
      <c r="I138" s="149">
        <v>0</v>
      </c>
      <c r="J138" s="149">
        <v>0</v>
      </c>
      <c r="K138" s="149">
        <v>0</v>
      </c>
      <c r="L138" s="149">
        <v>0</v>
      </c>
      <c r="M138" s="149">
        <v>0</v>
      </c>
      <c r="N138" s="149">
        <v>0</v>
      </c>
      <c r="O138" s="149">
        <v>0</v>
      </c>
      <c r="S138" s="149">
        <v>0</v>
      </c>
      <c r="T138" s="149">
        <v>0</v>
      </c>
      <c r="U138" s="149">
        <v>0</v>
      </c>
      <c r="V138" s="149">
        <v>0</v>
      </c>
      <c r="W138" s="149">
        <v>0</v>
      </c>
      <c r="X138" s="149">
        <v>0</v>
      </c>
      <c r="Y138" s="149">
        <v>0</v>
      </c>
      <c r="Z138" s="149">
        <v>0</v>
      </c>
      <c r="AA138" s="149">
        <v>0</v>
      </c>
      <c r="AB138" s="149">
        <v>0</v>
      </c>
      <c r="AC138" s="149">
        <v>0</v>
      </c>
      <c r="AD138" s="149">
        <v>0</v>
      </c>
      <c r="AE138" s="149">
        <v>0</v>
      </c>
      <c r="AF138" s="149">
        <v>0</v>
      </c>
      <c r="AG138" s="149">
        <v>0</v>
      </c>
      <c r="AH138" s="149">
        <v>0</v>
      </c>
      <c r="AI138" s="149">
        <v>0</v>
      </c>
      <c r="AJ138" s="149">
        <v>0</v>
      </c>
      <c r="AK138" s="149">
        <v>0</v>
      </c>
      <c r="AL138" s="149">
        <v>0</v>
      </c>
      <c r="AM138" s="149">
        <v>0</v>
      </c>
      <c r="AN138" s="149">
        <v>0</v>
      </c>
      <c r="AO138" s="149">
        <v>0</v>
      </c>
      <c r="AP138" s="149">
        <v>0</v>
      </c>
      <c r="AQ138" s="149">
        <v>0</v>
      </c>
      <c r="AR138" s="149">
        <v>0</v>
      </c>
      <c r="AS138" s="149">
        <v>0</v>
      </c>
      <c r="AT138" s="149">
        <v>0</v>
      </c>
      <c r="AU138" s="149">
        <v>0</v>
      </c>
      <c r="AV138" s="149">
        <v>0</v>
      </c>
      <c r="AW138" s="149">
        <v>0</v>
      </c>
      <c r="AX138" s="149">
        <v>0</v>
      </c>
      <c r="AY138" s="149">
        <v>0</v>
      </c>
      <c r="AZ138" s="149">
        <v>0</v>
      </c>
      <c r="BA138" s="149">
        <v>0</v>
      </c>
      <c r="BB138" s="149">
        <v>0</v>
      </c>
      <c r="BC138" s="149">
        <v>0</v>
      </c>
      <c r="BD138" s="149">
        <v>0</v>
      </c>
      <c r="BE138" s="149">
        <v>0</v>
      </c>
      <c r="BF138" s="149">
        <v>0</v>
      </c>
      <c r="BG138" s="149">
        <v>0</v>
      </c>
      <c r="BH138" s="149">
        <v>0</v>
      </c>
      <c r="BI138" s="149">
        <v>0</v>
      </c>
      <c r="BJ138" s="149">
        <v>0</v>
      </c>
      <c r="BK138" s="149">
        <v>0</v>
      </c>
      <c r="BL138" s="149">
        <v>0</v>
      </c>
      <c r="BM138" s="149">
        <v>0</v>
      </c>
      <c r="BN138" s="149">
        <v>0</v>
      </c>
      <c r="BO138" s="149">
        <v>0</v>
      </c>
      <c r="BP138" s="149">
        <v>0</v>
      </c>
      <c r="BQ138" s="149">
        <v>0</v>
      </c>
      <c r="BR138" s="149">
        <v>0</v>
      </c>
      <c r="BS138" s="149">
        <v>0</v>
      </c>
      <c r="BT138" s="149">
        <v>0</v>
      </c>
      <c r="BU138" s="149">
        <v>0</v>
      </c>
      <c r="BV138" s="149">
        <v>0</v>
      </c>
      <c r="BW138" s="149">
        <v>0</v>
      </c>
      <c r="BX138" s="149">
        <v>0</v>
      </c>
      <c r="BY138" s="149">
        <v>0</v>
      </c>
      <c r="BZ138" s="149">
        <v>0</v>
      </c>
    </row>
    <row r="139" spans="1:78" s="137" customFormat="1">
      <c r="A139" s="130" t="s">
        <v>1115</v>
      </c>
      <c r="B139" s="127"/>
    </row>
    <row r="140" spans="1:78">
      <c r="A140" s="149">
        <v>200001</v>
      </c>
      <c r="B140" s="149">
        <v>0</v>
      </c>
      <c r="C140" s="133" t="s">
        <v>1116</v>
      </c>
      <c r="D140" s="149">
        <v>0</v>
      </c>
      <c r="E140" s="149">
        <v>0</v>
      </c>
      <c r="F140" s="149">
        <v>0</v>
      </c>
      <c r="G140" s="149">
        <v>0</v>
      </c>
      <c r="H140" s="149">
        <v>0</v>
      </c>
      <c r="I140" s="149">
        <v>0</v>
      </c>
      <c r="J140" s="149">
        <v>0</v>
      </c>
      <c r="K140" s="149">
        <v>0</v>
      </c>
      <c r="L140" s="149">
        <v>0</v>
      </c>
      <c r="M140" s="149">
        <v>7000</v>
      </c>
      <c r="N140" s="149">
        <v>0</v>
      </c>
      <c r="O140" s="149">
        <v>0</v>
      </c>
      <c r="Q140" s="136" t="s">
        <v>642</v>
      </c>
      <c r="S140" s="149">
        <v>0</v>
      </c>
      <c r="T140" s="149">
        <v>0</v>
      </c>
      <c r="U140" s="149">
        <v>0</v>
      </c>
      <c r="V140" s="149">
        <v>0</v>
      </c>
      <c r="W140" s="149">
        <v>0</v>
      </c>
      <c r="X140" s="149">
        <v>0</v>
      </c>
      <c r="Y140" s="149">
        <v>0</v>
      </c>
      <c r="Z140" s="149">
        <v>0</v>
      </c>
      <c r="AA140" s="149">
        <v>0</v>
      </c>
      <c r="AB140" s="149">
        <v>0</v>
      </c>
      <c r="AC140" s="149">
        <v>0</v>
      </c>
      <c r="AD140" s="149">
        <v>0</v>
      </c>
      <c r="AE140" s="149">
        <v>0</v>
      </c>
      <c r="AF140" s="149">
        <v>0</v>
      </c>
      <c r="AG140" s="149">
        <v>0</v>
      </c>
      <c r="AH140" s="149">
        <v>0</v>
      </c>
      <c r="AI140" s="149">
        <v>0</v>
      </c>
      <c r="AJ140" s="149">
        <v>0</v>
      </c>
      <c r="AK140" s="149">
        <v>10000</v>
      </c>
      <c r="AL140" s="149">
        <v>0</v>
      </c>
      <c r="AM140" s="149">
        <v>0</v>
      </c>
      <c r="AN140" s="149">
        <v>0</v>
      </c>
      <c r="AO140" s="149">
        <v>0</v>
      </c>
      <c r="AP140" s="149">
        <v>0</v>
      </c>
      <c r="AQ140" s="149">
        <v>0</v>
      </c>
      <c r="AR140" s="149">
        <v>0</v>
      </c>
      <c r="AS140" s="149">
        <v>0</v>
      </c>
      <c r="AT140" s="149">
        <v>0</v>
      </c>
      <c r="AU140" s="149">
        <v>0</v>
      </c>
      <c r="AV140" s="149">
        <v>0</v>
      </c>
      <c r="AW140" s="149">
        <v>0</v>
      </c>
      <c r="AX140" s="149">
        <v>0</v>
      </c>
      <c r="AY140" s="149">
        <v>0</v>
      </c>
      <c r="AZ140" s="149">
        <v>0</v>
      </c>
      <c r="BA140" s="149">
        <v>0</v>
      </c>
      <c r="BB140" s="149">
        <v>0</v>
      </c>
      <c r="BC140" s="149">
        <v>0</v>
      </c>
      <c r="BD140" s="149">
        <v>0</v>
      </c>
      <c r="BE140" s="149">
        <v>0</v>
      </c>
      <c r="BF140" s="149">
        <v>0</v>
      </c>
      <c r="BG140" s="149">
        <v>0</v>
      </c>
      <c r="BH140" s="149">
        <v>0</v>
      </c>
      <c r="BI140" s="149">
        <v>0</v>
      </c>
      <c r="BJ140" s="149">
        <v>0</v>
      </c>
      <c r="BK140" s="149">
        <v>0</v>
      </c>
      <c r="BL140" s="149">
        <v>0</v>
      </c>
      <c r="BM140" s="149">
        <v>0</v>
      </c>
      <c r="BN140" s="149">
        <v>0</v>
      </c>
      <c r="BO140" s="149">
        <v>0</v>
      </c>
      <c r="BP140" s="149">
        <v>0</v>
      </c>
      <c r="BQ140" s="149">
        <v>0</v>
      </c>
      <c r="BR140" s="149">
        <v>0</v>
      </c>
      <c r="BS140" s="149">
        <v>0</v>
      </c>
      <c r="BT140" s="149">
        <v>0</v>
      </c>
      <c r="BU140" s="149">
        <v>0</v>
      </c>
      <c r="BV140" s="149">
        <v>0</v>
      </c>
      <c r="BW140" s="149">
        <v>0</v>
      </c>
      <c r="BX140" s="149">
        <v>0</v>
      </c>
      <c r="BY140" s="149">
        <v>0</v>
      </c>
      <c r="BZ140" s="149">
        <v>0</v>
      </c>
    </row>
    <row r="141" spans="1:78" s="137" customFormat="1">
      <c r="A141" s="130" t="s">
        <v>1117</v>
      </c>
      <c r="B141" s="127"/>
    </row>
    <row r="142" spans="1:78">
      <c r="A142" s="149">
        <v>210001</v>
      </c>
      <c r="B142" s="149">
        <v>0</v>
      </c>
      <c r="C142" s="133" t="e">
        <f>VLOOKUP(A142,Multilingual!A:B,2,FALSE)</f>
        <v>#N/A</v>
      </c>
      <c r="D142" s="149">
        <v>0</v>
      </c>
      <c r="E142" s="149">
        <v>0</v>
      </c>
      <c r="F142" s="149">
        <v>0</v>
      </c>
      <c r="G142" s="149">
        <v>0</v>
      </c>
      <c r="H142" s="149">
        <v>0</v>
      </c>
      <c r="I142" s="149">
        <v>0</v>
      </c>
      <c r="J142" s="149">
        <v>0</v>
      </c>
      <c r="K142" s="149">
        <v>0</v>
      </c>
      <c r="L142" s="149">
        <v>0</v>
      </c>
      <c r="M142" s="149">
        <v>0</v>
      </c>
      <c r="N142" s="149">
        <v>0</v>
      </c>
      <c r="O142" s="149">
        <v>0</v>
      </c>
      <c r="S142" s="149">
        <v>0</v>
      </c>
      <c r="T142" s="149">
        <v>0</v>
      </c>
      <c r="U142" s="149">
        <v>0</v>
      </c>
      <c r="V142" s="149">
        <v>0</v>
      </c>
      <c r="W142" s="149">
        <v>0</v>
      </c>
      <c r="X142" s="149">
        <v>0</v>
      </c>
      <c r="Y142" s="149">
        <v>0</v>
      </c>
      <c r="Z142" s="149">
        <v>0</v>
      </c>
      <c r="AA142" s="149">
        <v>0</v>
      </c>
      <c r="AB142" s="149">
        <v>0</v>
      </c>
      <c r="AC142" s="149">
        <v>0</v>
      </c>
      <c r="AD142" s="149">
        <v>0</v>
      </c>
      <c r="AE142" s="149">
        <v>0</v>
      </c>
      <c r="AF142" s="149">
        <v>0</v>
      </c>
      <c r="AG142" s="149">
        <v>0</v>
      </c>
      <c r="AH142" s="149">
        <v>0</v>
      </c>
      <c r="AI142" s="149">
        <v>0</v>
      </c>
      <c r="AJ142" s="149">
        <v>0</v>
      </c>
      <c r="AK142" s="149">
        <v>0</v>
      </c>
      <c r="AL142" s="149">
        <v>0</v>
      </c>
      <c r="AM142" s="149">
        <v>0</v>
      </c>
      <c r="AN142" s="149">
        <v>0</v>
      </c>
      <c r="AO142" s="149">
        <v>0</v>
      </c>
      <c r="AP142" s="149">
        <v>0</v>
      </c>
      <c r="AQ142" s="149">
        <v>0</v>
      </c>
      <c r="AR142" s="149">
        <v>0</v>
      </c>
      <c r="AS142" s="149">
        <v>0</v>
      </c>
      <c r="AT142" s="149">
        <v>0</v>
      </c>
      <c r="AU142" s="149">
        <v>0</v>
      </c>
      <c r="AV142" s="149">
        <v>0</v>
      </c>
      <c r="AW142" s="149">
        <v>0</v>
      </c>
      <c r="AX142" s="149">
        <v>0</v>
      </c>
      <c r="AY142" s="149">
        <v>0</v>
      </c>
      <c r="AZ142" s="149">
        <v>0</v>
      </c>
      <c r="BA142" s="149">
        <v>0</v>
      </c>
      <c r="BB142" s="149">
        <v>0</v>
      </c>
      <c r="BC142" s="149">
        <v>0</v>
      </c>
      <c r="BD142" s="149">
        <v>0</v>
      </c>
      <c r="BE142" s="149">
        <v>0</v>
      </c>
      <c r="BF142" s="149">
        <v>0</v>
      </c>
      <c r="BG142" s="149">
        <v>0</v>
      </c>
      <c r="BH142" s="149">
        <v>0</v>
      </c>
      <c r="BI142" s="149">
        <v>0</v>
      </c>
      <c r="BJ142" s="149">
        <v>0</v>
      </c>
      <c r="BK142" s="149">
        <v>0</v>
      </c>
      <c r="BL142" s="149">
        <v>0</v>
      </c>
      <c r="BM142" s="149">
        <v>0</v>
      </c>
      <c r="BN142" s="149">
        <v>0</v>
      </c>
      <c r="BO142" s="149">
        <v>0</v>
      </c>
      <c r="BP142" s="149">
        <v>0</v>
      </c>
      <c r="BQ142" s="149">
        <v>0</v>
      </c>
      <c r="BR142" s="149">
        <v>0</v>
      </c>
      <c r="BS142" s="149">
        <v>0</v>
      </c>
      <c r="BT142" s="149">
        <v>0</v>
      </c>
      <c r="BU142" s="149">
        <v>0</v>
      </c>
      <c r="BV142" s="149">
        <v>0</v>
      </c>
      <c r="BW142" s="149">
        <v>0</v>
      </c>
      <c r="BX142" s="149">
        <v>0</v>
      </c>
      <c r="BY142" s="149">
        <v>0</v>
      </c>
      <c r="BZ142" s="149">
        <v>0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4"/>
  <dimension ref="A1:E29"/>
  <sheetViews>
    <sheetView workbookViewId="0">
      <selection activeCell="I44" sqref="I44"/>
    </sheetView>
  </sheetViews>
  <sheetFormatPr defaultRowHeight="13.5"/>
  <cols>
    <col min="1" max="1" width="9.125" style="135" bestFit="1" customWidth="1"/>
    <col min="2" max="2" width="19.125" style="135" customWidth="1"/>
    <col min="3" max="3" width="17.375" style="135" bestFit="1" customWidth="1"/>
    <col min="4" max="4" width="67.375" style="172" bestFit="1" customWidth="1"/>
    <col min="5" max="5" width="9" style="162"/>
    <col min="6" max="16384" width="9" style="135"/>
  </cols>
  <sheetData>
    <row r="1" spans="1:5" s="134" customFormat="1">
      <c r="A1" s="134" t="s">
        <v>543</v>
      </c>
      <c r="B1" s="117" t="s">
        <v>1219</v>
      </c>
      <c r="C1" s="134" t="s">
        <v>1220</v>
      </c>
      <c r="D1" s="170" t="s">
        <v>1260</v>
      </c>
      <c r="E1" s="160" t="s">
        <v>1223</v>
      </c>
    </row>
    <row r="2" spans="1:5" s="134" customFormat="1" ht="15.75" customHeight="1">
      <c r="A2" s="134" t="s">
        <v>540</v>
      </c>
      <c r="B2" s="117" t="s">
        <v>1218</v>
      </c>
      <c r="C2" s="134" t="s">
        <v>1230</v>
      </c>
      <c r="D2" s="170" t="s">
        <v>1259</v>
      </c>
      <c r="E2" s="160"/>
    </row>
    <row r="3" spans="1:5" s="134" customFormat="1">
      <c r="A3" s="134" t="s">
        <v>541</v>
      </c>
      <c r="B3" s="117" t="s">
        <v>1242</v>
      </c>
      <c r="C3" s="134" t="s">
        <v>1221</v>
      </c>
      <c r="D3" s="170" t="s">
        <v>1261</v>
      </c>
      <c r="E3" s="160"/>
    </row>
    <row r="4" spans="1:5" s="137" customFormat="1">
      <c r="A4" s="130" t="s">
        <v>1222</v>
      </c>
      <c r="B4" s="127"/>
      <c r="D4" s="171"/>
      <c r="E4" s="161"/>
    </row>
    <row r="5" spans="1:5">
      <c r="A5" s="135">
        <v>1</v>
      </c>
      <c r="B5" s="135" t="s">
        <v>1263</v>
      </c>
      <c r="C5" s="135" t="e">
        <f>INDEX(Multilingual!A:B,MATCH(E5,Multilingual!B:B,0),1)</f>
        <v>#REF!</v>
      </c>
      <c r="D5" s="172" t="s">
        <v>1231</v>
      </c>
      <c r="E5" s="162" t="e">
        <f>Multilingual!#REF!</f>
        <v>#REF!</v>
      </c>
    </row>
    <row r="6" spans="1:5">
      <c r="A6" s="135">
        <f>A5+10</f>
        <v>11</v>
      </c>
      <c r="B6" s="135" t="s">
        <v>1264</v>
      </c>
      <c r="C6" s="135" t="e">
        <f>INDEX(Multilingual!A:B,MATCH(E6,Multilingual!B:B,0),1)</f>
        <v>#REF!</v>
      </c>
      <c r="D6" s="172" t="s">
        <v>1232</v>
      </c>
      <c r="E6" s="162" t="e">
        <f>Multilingual!#REF!</f>
        <v>#REF!</v>
      </c>
    </row>
    <row r="7" spans="1:5">
      <c r="A7" s="135">
        <f>A6+10</f>
        <v>21</v>
      </c>
      <c r="B7" s="135" t="s">
        <v>1265</v>
      </c>
      <c r="C7" s="135" t="e">
        <f>Multilingual!#REF!</f>
        <v>#REF!</v>
      </c>
      <c r="D7" s="172" t="s">
        <v>1262</v>
      </c>
      <c r="E7" s="162" t="e">
        <f>Multilingual!#REF!</f>
        <v>#REF!</v>
      </c>
    </row>
    <row r="8" spans="1:5">
      <c r="A8" s="135">
        <f t="shared" ref="A8:A14" si="0">A7+10</f>
        <v>31</v>
      </c>
      <c r="B8" s="135" t="s">
        <v>1266</v>
      </c>
      <c r="C8" s="135" t="e">
        <f>Multilingual!#REF!</f>
        <v>#REF!</v>
      </c>
      <c r="D8" s="172" t="s">
        <v>1255</v>
      </c>
      <c r="E8" s="162" t="e">
        <f>Multilingual!#REF!</f>
        <v>#REF!</v>
      </c>
    </row>
    <row r="9" spans="1:5">
      <c r="A9" s="135">
        <f t="shared" si="0"/>
        <v>41</v>
      </c>
      <c r="B9" s="135" t="s">
        <v>1267</v>
      </c>
      <c r="C9" s="135" t="e">
        <f>Multilingual!#REF!</f>
        <v>#REF!</v>
      </c>
      <c r="D9" s="172" t="s">
        <v>1251</v>
      </c>
      <c r="E9" s="162" t="e">
        <f>Multilingual!#REF!</f>
        <v>#REF!</v>
      </c>
    </row>
    <row r="10" spans="1:5">
      <c r="A10" s="135">
        <f t="shared" si="0"/>
        <v>51</v>
      </c>
      <c r="B10" s="135" t="s">
        <v>1268</v>
      </c>
      <c r="C10" s="135" t="e">
        <f>Multilingual!#REF!</f>
        <v>#REF!</v>
      </c>
      <c r="D10" s="172" t="s">
        <v>1252</v>
      </c>
      <c r="E10" s="162" t="e">
        <f>Multilingual!#REF!</f>
        <v>#REF!</v>
      </c>
    </row>
    <row r="11" spans="1:5">
      <c r="A11" s="135">
        <f t="shared" si="0"/>
        <v>61</v>
      </c>
      <c r="B11" s="135" t="s">
        <v>1269</v>
      </c>
      <c r="C11" s="135" t="e">
        <f>Multilingual!#REF!</f>
        <v>#REF!</v>
      </c>
      <c r="D11" s="172" t="s">
        <v>1254</v>
      </c>
      <c r="E11" s="162" t="e">
        <f>Multilingual!#REF!</f>
        <v>#REF!</v>
      </c>
    </row>
    <row r="12" spans="1:5">
      <c r="A12" s="135">
        <f t="shared" si="0"/>
        <v>71</v>
      </c>
      <c r="B12" s="135" t="s">
        <v>1270</v>
      </c>
      <c r="C12" s="135" t="e">
        <f>Multilingual!#REF!</f>
        <v>#REF!</v>
      </c>
      <c r="D12" s="172" t="s">
        <v>1253</v>
      </c>
      <c r="E12" s="162" t="e">
        <f>Multilingual!#REF!</f>
        <v>#REF!</v>
      </c>
    </row>
    <row r="13" spans="1:5">
      <c r="A13" s="135">
        <f t="shared" si="0"/>
        <v>81</v>
      </c>
      <c r="B13" s="135" t="s">
        <v>1271</v>
      </c>
      <c r="C13" s="135" t="e">
        <f>Multilingual!#REF!</f>
        <v>#REF!</v>
      </c>
      <c r="D13" s="172" t="s">
        <v>1256</v>
      </c>
      <c r="E13" s="162" t="e">
        <f>Multilingual!#REF!</f>
        <v>#REF!</v>
      </c>
    </row>
    <row r="14" spans="1:5">
      <c r="A14" s="135">
        <f t="shared" si="0"/>
        <v>91</v>
      </c>
      <c r="B14" s="135" t="s">
        <v>1272</v>
      </c>
      <c r="C14" s="135" t="e">
        <f>Multilingual!#REF!</f>
        <v>#REF!</v>
      </c>
      <c r="D14" s="172" t="s">
        <v>1257</v>
      </c>
      <c r="E14" s="162" t="e">
        <f>Multilingual!#REF!</f>
        <v>#REF!</v>
      </c>
    </row>
    <row r="15" spans="1:5">
      <c r="A15" s="135">
        <f t="shared" ref="A15" si="1">A14+10</f>
        <v>101</v>
      </c>
      <c r="B15" s="135" t="s">
        <v>1273</v>
      </c>
      <c r="C15" s="135" t="e">
        <f>Multilingual!#REF!</f>
        <v>#REF!</v>
      </c>
      <c r="D15" s="172" t="s">
        <v>1258</v>
      </c>
      <c r="E15" s="162" t="e">
        <f>Multilingual!#REF!</f>
        <v>#REF!</v>
      </c>
    </row>
    <row r="16" spans="1:5" s="137" customFormat="1">
      <c r="A16" s="130" t="s">
        <v>1248</v>
      </c>
      <c r="B16" s="127"/>
      <c r="D16" s="171"/>
      <c r="E16" s="161"/>
    </row>
    <row r="17" spans="1:5">
      <c r="A17" s="135">
        <v>100001</v>
      </c>
      <c r="B17" s="135" t="s">
        <v>1249</v>
      </c>
      <c r="C17" s="135" t="e">
        <f>Multilingual!#REF!</f>
        <v>#REF!</v>
      </c>
      <c r="D17" s="172" t="s">
        <v>1250</v>
      </c>
      <c r="E17" s="162" t="e">
        <f>Multilingual!#REF!</f>
        <v>#REF!</v>
      </c>
    </row>
    <row r="29" spans="1:5" ht="14.25">
      <c r="C29" s="179"/>
    </row>
  </sheetData>
  <phoneticPr fontId="10" type="noConversion"/>
  <pageMargins left="0.7" right="0.7" top="0.75" bottom="0.75" header="0.3" footer="0.3"/>
  <pageSetup paperSize="9"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5"/>
  <dimension ref="A1:I4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B4" sqref="B4"/>
    </sheetView>
  </sheetViews>
  <sheetFormatPr defaultRowHeight="13.5"/>
  <cols>
    <col min="1" max="1" width="6.375" style="135" bestFit="1" customWidth="1"/>
    <col min="2" max="2" width="15.25" style="135" customWidth="1"/>
    <col min="3" max="3" width="8.25" style="135" bestFit="1" customWidth="1"/>
    <col min="4" max="4" width="26.125" style="133" bestFit="1" customWidth="1"/>
    <col min="5" max="5" width="9.75" style="135" bestFit="1" customWidth="1"/>
    <col min="6" max="6" width="9.75" style="135" customWidth="1"/>
    <col min="7" max="7" width="11.5" style="135" bestFit="1" customWidth="1"/>
    <col min="8" max="8" width="9.87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1148</v>
      </c>
      <c r="B1" s="134" t="s">
        <v>1149</v>
      </c>
      <c r="C1" s="134" t="s">
        <v>1150</v>
      </c>
      <c r="D1" s="126" t="s">
        <v>1151</v>
      </c>
      <c r="E1" s="134" t="s">
        <v>1152</v>
      </c>
      <c r="F1" s="134" t="s">
        <v>1153</v>
      </c>
      <c r="G1" s="134" t="s">
        <v>1154</v>
      </c>
      <c r="H1" s="134" t="s">
        <v>1155</v>
      </c>
      <c r="I1" s="134" t="s">
        <v>1156</v>
      </c>
    </row>
    <row r="2" spans="1:9" s="134" customFormat="1">
      <c r="A2" s="134" t="s">
        <v>767</v>
      </c>
      <c r="B2" s="134" t="s">
        <v>1157</v>
      </c>
      <c r="C2" s="134" t="s">
        <v>768</v>
      </c>
      <c r="D2" s="126"/>
      <c r="E2" s="134" t="s">
        <v>769</v>
      </c>
      <c r="F2" s="134" t="s">
        <v>1158</v>
      </c>
      <c r="G2" s="134" t="s">
        <v>1159</v>
      </c>
      <c r="H2" s="134" t="s">
        <v>1160</v>
      </c>
      <c r="I2" s="134" t="s">
        <v>1161</v>
      </c>
    </row>
    <row r="3" spans="1:9" s="134" customFormat="1">
      <c r="A3" s="134" t="s">
        <v>14</v>
      </c>
      <c r="B3" s="134" t="s">
        <v>1333</v>
      </c>
      <c r="C3" s="134" t="s">
        <v>14</v>
      </c>
      <c r="D3" s="126"/>
      <c r="E3" s="134" t="s">
        <v>14</v>
      </c>
      <c r="F3" s="134" t="s">
        <v>14</v>
      </c>
      <c r="G3" s="134" t="s">
        <v>14</v>
      </c>
      <c r="H3" s="134" t="s">
        <v>1337</v>
      </c>
      <c r="I3" s="134" t="s">
        <v>14</v>
      </c>
    </row>
    <row r="4" spans="1:9">
      <c r="A4" s="135">
        <v>1</v>
      </c>
      <c r="B4" s="135">
        <v>1</v>
      </c>
      <c r="C4" s="135">
        <v>500001</v>
      </c>
      <c r="D4" s="133" t="e">
        <f>VLOOKUP(C4,Multilingual!#REF!,2,FALSE)</f>
        <v>#REF!</v>
      </c>
      <c r="E4" s="135">
        <v>0</v>
      </c>
      <c r="F4" s="135">
        <v>0</v>
      </c>
      <c r="G4" s="135">
        <v>0</v>
      </c>
      <c r="H4" s="135">
        <v>5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6"/>
  <dimension ref="A1:I4"/>
  <sheetViews>
    <sheetView zoomScale="85" zoomScaleNormal="85" workbookViewId="0">
      <pane xSplit="5" ySplit="3" topLeftCell="J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C4" sqref="C4"/>
    </sheetView>
  </sheetViews>
  <sheetFormatPr defaultRowHeight="13.5"/>
  <cols>
    <col min="1" max="1" width="6.625" style="135" bestFit="1" customWidth="1"/>
    <col min="2" max="2" width="8.625" style="135" bestFit="1" customWidth="1"/>
    <col min="3" max="4" width="8.25" style="135" bestFit="1" customWidth="1"/>
    <col min="5" max="5" width="26.125" style="133" bestFit="1" customWidth="1"/>
    <col min="6" max="6" width="9.75" style="135" bestFit="1" customWidth="1"/>
    <col min="7" max="7" width="9.75" style="135" customWidth="1"/>
    <col min="8" max="8" width="11.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543</v>
      </c>
      <c r="B1" s="134" t="s">
        <v>605</v>
      </c>
      <c r="C1" s="134" t="s">
        <v>647</v>
      </c>
      <c r="D1" s="134" t="s">
        <v>1162</v>
      </c>
      <c r="E1" s="126" t="s">
        <v>648</v>
      </c>
      <c r="F1" s="134" t="s">
        <v>643</v>
      </c>
      <c r="G1" s="134" t="s">
        <v>644</v>
      </c>
      <c r="H1" s="134" t="s">
        <v>649</v>
      </c>
      <c r="I1" s="134" t="s">
        <v>645</v>
      </c>
    </row>
    <row r="2" spans="1:9" s="134" customFormat="1">
      <c r="A2" s="134" t="s">
        <v>540</v>
      </c>
      <c r="B2" s="134" t="s">
        <v>604</v>
      </c>
      <c r="C2" s="134" t="s">
        <v>650</v>
      </c>
      <c r="D2" s="134" t="s">
        <v>214</v>
      </c>
      <c r="E2" s="126"/>
      <c r="F2" s="134" t="s">
        <v>603</v>
      </c>
      <c r="G2" s="134" t="s">
        <v>295</v>
      </c>
      <c r="H2" s="134" t="s">
        <v>544</v>
      </c>
      <c r="I2" s="134" t="s">
        <v>646</v>
      </c>
    </row>
    <row r="3" spans="1:9" s="134" customFormat="1">
      <c r="A3" s="134" t="s">
        <v>14</v>
      </c>
      <c r="B3" s="134" t="s">
        <v>14</v>
      </c>
      <c r="C3" s="134" t="s">
        <v>1333</v>
      </c>
      <c r="D3" s="134" t="s">
        <v>14</v>
      </c>
      <c r="E3" s="126"/>
      <c r="F3" s="134" t="s">
        <v>14</v>
      </c>
      <c r="G3" s="134" t="s">
        <v>14</v>
      </c>
      <c r="H3" s="134" t="s">
        <v>14</v>
      </c>
      <c r="I3" s="134" t="s">
        <v>14</v>
      </c>
    </row>
    <row r="4" spans="1:9">
      <c r="A4" s="135">
        <v>1</v>
      </c>
      <c r="B4" s="135">
        <v>1</v>
      </c>
      <c r="C4" s="135">
        <v>1</v>
      </c>
      <c r="D4" s="135">
        <v>500001</v>
      </c>
      <c r="E4" s="133" t="str">
        <f>VLOOKUP(D4,Multilingual!A:B,2,FALSE)</f>
        <v>저급 신발</v>
      </c>
      <c r="F4" s="135">
        <v>0</v>
      </c>
      <c r="G4" s="135">
        <v>0</v>
      </c>
      <c r="H4" s="135">
        <v>0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7"/>
  <dimension ref="A1:D7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M28" sqref="M28"/>
    </sheetView>
  </sheetViews>
  <sheetFormatPr defaultRowHeight="13.5"/>
  <cols>
    <col min="1" max="1" width="10.25" style="135" customWidth="1"/>
    <col min="2" max="2" width="10" style="135" bestFit="1" customWidth="1"/>
    <col min="3" max="4" width="9.875" style="135" bestFit="1" customWidth="1"/>
    <col min="5" max="16384" width="9" style="135"/>
  </cols>
  <sheetData>
    <row r="1" spans="1:4" s="134" customFormat="1">
      <c r="A1" s="134" t="s">
        <v>1148</v>
      </c>
      <c r="B1" s="134" t="s">
        <v>1163</v>
      </c>
      <c r="C1" s="134" t="s">
        <v>1164</v>
      </c>
      <c r="D1" s="134" t="s">
        <v>1165</v>
      </c>
    </row>
    <row r="2" spans="1:4" s="134" customFormat="1">
      <c r="A2" s="134" t="s">
        <v>767</v>
      </c>
      <c r="B2" s="134" t="s">
        <v>1166</v>
      </c>
      <c r="C2" s="134" t="s">
        <v>1167</v>
      </c>
      <c r="D2" s="134" t="s">
        <v>1168</v>
      </c>
    </row>
    <row r="3" spans="1:4" s="134" customFormat="1">
      <c r="A3" s="134" t="s">
        <v>14</v>
      </c>
      <c r="B3" s="134" t="s">
        <v>14</v>
      </c>
      <c r="C3" s="134" t="s">
        <v>14</v>
      </c>
      <c r="D3" s="134" t="s">
        <v>14</v>
      </c>
    </row>
    <row r="4" spans="1:4" s="137" customFormat="1">
      <c r="A4" s="130" t="s">
        <v>1169</v>
      </c>
      <c r="B4" s="127"/>
    </row>
    <row r="5" spans="1:4">
      <c r="A5" s="135">
        <v>1</v>
      </c>
      <c r="B5" s="135">
        <v>0</v>
      </c>
      <c r="C5" s="135">
        <v>0</v>
      </c>
      <c r="D5" s="135">
        <v>0</v>
      </c>
    </row>
    <row r="6" spans="1:4" s="137" customFormat="1">
      <c r="A6" s="130" t="s">
        <v>1170</v>
      </c>
      <c r="B6" s="127"/>
    </row>
    <row r="7" spans="1:4">
      <c r="A7" s="135">
        <v>10001</v>
      </c>
      <c r="B7" s="135">
        <v>0</v>
      </c>
      <c r="C7" s="135">
        <v>0</v>
      </c>
      <c r="D7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9"/>
  <dimension ref="A1:AF6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4" sqref="A4"/>
    </sheetView>
  </sheetViews>
  <sheetFormatPr defaultRowHeight="13.5"/>
  <cols>
    <col min="1" max="1" width="6.375" style="135" bestFit="1" customWidth="1"/>
    <col min="2" max="2" width="9" style="133"/>
    <col min="3" max="32" width="13.375" style="135" bestFit="1" customWidth="1"/>
    <col min="33" max="16384" width="9" style="135"/>
  </cols>
  <sheetData>
    <row r="1" spans="1:32" s="134" customFormat="1">
      <c r="A1" s="134" t="s">
        <v>1148</v>
      </c>
      <c r="B1" s="126" t="s">
        <v>1171</v>
      </c>
      <c r="C1" s="134" t="s">
        <v>1172</v>
      </c>
      <c r="D1" s="134" t="s">
        <v>1173</v>
      </c>
      <c r="E1" s="134" t="s">
        <v>154</v>
      </c>
      <c r="F1" s="134" t="s">
        <v>155</v>
      </c>
      <c r="G1" s="134" t="s">
        <v>156</v>
      </c>
      <c r="H1" s="134" t="s">
        <v>157</v>
      </c>
      <c r="I1" s="134" t="s">
        <v>158</v>
      </c>
      <c r="J1" s="134" t="s">
        <v>159</v>
      </c>
      <c r="K1" s="134" t="s">
        <v>160</v>
      </c>
      <c r="L1" s="134" t="s">
        <v>161</v>
      </c>
      <c r="M1" s="134" t="s">
        <v>162</v>
      </c>
      <c r="N1" s="134" t="s">
        <v>163</v>
      </c>
      <c r="O1" s="134" t="s">
        <v>164</v>
      </c>
      <c r="P1" s="134" t="s">
        <v>165</v>
      </c>
      <c r="Q1" s="134" t="s">
        <v>166</v>
      </c>
      <c r="R1" s="134" t="s">
        <v>167</v>
      </c>
      <c r="S1" s="134" t="s">
        <v>168</v>
      </c>
      <c r="T1" s="134" t="s">
        <v>169</v>
      </c>
      <c r="U1" s="134" t="s">
        <v>170</v>
      </c>
      <c r="V1" s="134" t="s">
        <v>171</v>
      </c>
      <c r="W1" s="134" t="s">
        <v>172</v>
      </c>
      <c r="X1" s="134" t="s">
        <v>173</v>
      </c>
      <c r="Y1" s="134" t="s">
        <v>174</v>
      </c>
      <c r="Z1" s="134" t="s">
        <v>175</v>
      </c>
      <c r="AA1" s="134" t="s">
        <v>176</v>
      </c>
      <c r="AB1" s="134" t="s">
        <v>177</v>
      </c>
      <c r="AC1" s="134" t="s">
        <v>178</v>
      </c>
      <c r="AD1" s="134" t="s">
        <v>179</v>
      </c>
      <c r="AE1" s="134" t="s">
        <v>180</v>
      </c>
      <c r="AF1" s="134" t="s">
        <v>181</v>
      </c>
    </row>
    <row r="2" spans="1:32" s="134" customFormat="1">
      <c r="A2" s="134" t="s">
        <v>1174</v>
      </c>
      <c r="B2" s="126"/>
      <c r="C2" s="14" t="s">
        <v>1175</v>
      </c>
      <c r="D2" s="14" t="s">
        <v>1176</v>
      </c>
      <c r="E2" s="14" t="s">
        <v>113</v>
      </c>
      <c r="F2" s="14" t="s">
        <v>114</v>
      </c>
      <c r="G2" s="14" t="s">
        <v>115</v>
      </c>
      <c r="H2" s="14" t="s">
        <v>116</v>
      </c>
      <c r="I2" s="14" t="s">
        <v>117</v>
      </c>
      <c r="J2" s="14" t="s">
        <v>118</v>
      </c>
      <c r="K2" s="14" t="s">
        <v>119</v>
      </c>
      <c r="L2" s="14" t="s">
        <v>120</v>
      </c>
      <c r="M2" s="14" t="s">
        <v>134</v>
      </c>
      <c r="N2" s="14" t="s">
        <v>135</v>
      </c>
      <c r="O2" s="14" t="s">
        <v>136</v>
      </c>
      <c r="P2" s="14" t="s">
        <v>137</v>
      </c>
      <c r="Q2" s="14" t="s">
        <v>138</v>
      </c>
      <c r="R2" s="14" t="s">
        <v>139</v>
      </c>
      <c r="S2" s="14" t="s">
        <v>140</v>
      </c>
      <c r="T2" s="14" t="s">
        <v>141</v>
      </c>
      <c r="U2" s="14" t="s">
        <v>142</v>
      </c>
      <c r="V2" s="14" t="s">
        <v>143</v>
      </c>
      <c r="W2" s="14" t="s">
        <v>144</v>
      </c>
      <c r="X2" s="14" t="s">
        <v>145</v>
      </c>
      <c r="Y2" s="14" t="s">
        <v>146</v>
      </c>
      <c r="Z2" s="14" t="s">
        <v>147</v>
      </c>
      <c r="AA2" s="14" t="s">
        <v>148</v>
      </c>
      <c r="AB2" s="14" t="s">
        <v>149</v>
      </c>
      <c r="AC2" s="14" t="s">
        <v>150</v>
      </c>
      <c r="AD2" s="14" t="s">
        <v>151</v>
      </c>
      <c r="AE2" s="14" t="s">
        <v>152</v>
      </c>
      <c r="AF2" s="14" t="s">
        <v>153</v>
      </c>
    </row>
    <row r="3" spans="1:32" s="134" customFormat="1">
      <c r="A3" s="134" t="s">
        <v>14</v>
      </c>
      <c r="B3" s="126"/>
      <c r="C3" s="134" t="s">
        <v>14</v>
      </c>
      <c r="D3" s="134" t="s">
        <v>14</v>
      </c>
      <c r="E3" s="134" t="s">
        <v>14</v>
      </c>
      <c r="F3" s="134" t="s">
        <v>14</v>
      </c>
      <c r="G3" s="134" t="s">
        <v>14</v>
      </c>
      <c r="H3" s="134" t="s">
        <v>14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14</v>
      </c>
      <c r="N3" s="134" t="s">
        <v>14</v>
      </c>
      <c r="O3" s="134" t="s">
        <v>14</v>
      </c>
      <c r="P3" s="134" t="s">
        <v>14</v>
      </c>
      <c r="Q3" s="134" t="s">
        <v>14</v>
      </c>
      <c r="R3" s="134" t="s">
        <v>14</v>
      </c>
      <c r="S3" s="134" t="s">
        <v>14</v>
      </c>
      <c r="T3" s="134" t="s">
        <v>14</v>
      </c>
      <c r="U3" s="134" t="s">
        <v>14</v>
      </c>
      <c r="V3" s="134" t="s">
        <v>14</v>
      </c>
      <c r="W3" s="134" t="s">
        <v>14</v>
      </c>
      <c r="X3" s="134" t="s">
        <v>14</v>
      </c>
      <c r="Y3" s="134" t="s">
        <v>14</v>
      </c>
      <c r="Z3" s="134" t="s">
        <v>14</v>
      </c>
      <c r="AA3" s="134" t="s">
        <v>14</v>
      </c>
      <c r="AB3" s="134" t="s">
        <v>14</v>
      </c>
      <c r="AC3" s="134" t="s">
        <v>14</v>
      </c>
      <c r="AD3" s="134" t="s">
        <v>14</v>
      </c>
      <c r="AE3" s="134" t="s">
        <v>14</v>
      </c>
      <c r="AF3" s="134" t="s">
        <v>14</v>
      </c>
    </row>
    <row r="4" spans="1:32">
      <c r="A4" s="135">
        <v>1</v>
      </c>
      <c r="B4" s="133" t="s">
        <v>1177</v>
      </c>
      <c r="C4" s="135">
        <v>101</v>
      </c>
      <c r="D4" s="135">
        <v>102</v>
      </c>
      <c r="E4" s="135">
        <v>103</v>
      </c>
      <c r="F4" s="135">
        <v>104</v>
      </c>
      <c r="G4" s="135">
        <v>105</v>
      </c>
      <c r="H4" s="135">
        <v>106</v>
      </c>
      <c r="I4" s="135">
        <v>107</v>
      </c>
      <c r="J4" s="135">
        <v>108</v>
      </c>
      <c r="K4" s="135">
        <v>109</v>
      </c>
      <c r="L4" s="135">
        <v>110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  <c r="U4" s="135">
        <v>0</v>
      </c>
      <c r="V4" s="135">
        <v>0</v>
      </c>
      <c r="W4" s="135">
        <v>0</v>
      </c>
      <c r="X4" s="135">
        <v>0</v>
      </c>
      <c r="Y4" s="135">
        <v>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</row>
    <row r="5" spans="1:32">
      <c r="A5" s="135">
        <v>2</v>
      </c>
      <c r="B5" s="133" t="s">
        <v>1178</v>
      </c>
      <c r="C5" s="135">
        <v>201</v>
      </c>
      <c r="D5" s="135">
        <v>202</v>
      </c>
      <c r="E5" s="135">
        <v>203</v>
      </c>
      <c r="F5" s="135">
        <v>204</v>
      </c>
      <c r="G5" s="135">
        <v>205</v>
      </c>
      <c r="H5" s="135">
        <v>206</v>
      </c>
      <c r="I5" s="135">
        <v>207</v>
      </c>
      <c r="J5" s="135">
        <v>208</v>
      </c>
      <c r="K5" s="135">
        <v>209</v>
      </c>
      <c r="L5" s="135">
        <v>210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</row>
    <row r="6" spans="1:32">
      <c r="A6" s="135">
        <v>3</v>
      </c>
      <c r="B6" s="133" t="s">
        <v>1179</v>
      </c>
      <c r="C6" s="135">
        <v>301</v>
      </c>
      <c r="D6" s="135">
        <v>302</v>
      </c>
      <c r="E6" s="135">
        <v>303</v>
      </c>
      <c r="F6" s="135">
        <v>304</v>
      </c>
      <c r="G6" s="135">
        <v>305</v>
      </c>
      <c r="H6" s="135">
        <v>306</v>
      </c>
      <c r="I6" s="135">
        <v>307</v>
      </c>
      <c r="J6" s="135">
        <v>308</v>
      </c>
      <c r="K6" s="135">
        <v>309</v>
      </c>
      <c r="L6" s="135">
        <v>310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/>
  <dimension ref="A1:H12"/>
  <sheetViews>
    <sheetView zoomScale="85" zoomScaleNormal="85" workbookViewId="0">
      <selection activeCell="S47" sqref="S47"/>
    </sheetView>
  </sheetViews>
  <sheetFormatPr defaultRowHeight="13.5"/>
  <cols>
    <col min="1" max="1" width="9" style="135"/>
    <col min="2" max="2" width="10.375" style="133" bestFit="1" customWidth="1"/>
    <col min="3" max="3" width="10.375" style="133" customWidth="1"/>
    <col min="4" max="4" width="11.875" style="135" bestFit="1" customWidth="1"/>
    <col min="5" max="5" width="12.25" style="135" customWidth="1"/>
    <col min="6" max="6" width="12.375" style="135" customWidth="1"/>
    <col min="7" max="7" width="10.25" style="135" bestFit="1" customWidth="1"/>
    <col min="8" max="8" width="29.25" style="135" bestFit="1" customWidth="1"/>
    <col min="9" max="16384" width="9" style="135"/>
  </cols>
  <sheetData>
    <row r="1" spans="1:8">
      <c r="A1" s="146" t="s">
        <v>1180</v>
      </c>
      <c r="B1" s="147" t="s">
        <v>1181</v>
      </c>
      <c r="C1" s="147" t="s">
        <v>1182</v>
      </c>
      <c r="D1" s="146" t="s">
        <v>1183</v>
      </c>
      <c r="E1" s="146" t="s">
        <v>1184</v>
      </c>
      <c r="F1" s="146" t="s">
        <v>1185</v>
      </c>
      <c r="G1" s="146" t="s">
        <v>1186</v>
      </c>
      <c r="H1" s="146" t="s">
        <v>1187</v>
      </c>
    </row>
    <row r="2" spans="1:8">
      <c r="A2" s="146" t="s">
        <v>1188</v>
      </c>
      <c r="B2" s="147"/>
      <c r="C2" s="147"/>
      <c r="D2" s="146" t="s">
        <v>1189</v>
      </c>
      <c r="E2" s="146" t="s">
        <v>1190</v>
      </c>
      <c r="F2" s="146" t="s">
        <v>1191</v>
      </c>
      <c r="G2" s="146" t="s">
        <v>1192</v>
      </c>
      <c r="H2" s="146" t="s">
        <v>1193</v>
      </c>
    </row>
    <row r="3" spans="1:8">
      <c r="A3" s="146" t="s">
        <v>14</v>
      </c>
      <c r="B3" s="147"/>
      <c r="C3" s="147"/>
      <c r="D3" s="146" t="s">
        <v>1338</v>
      </c>
      <c r="E3" s="146" t="s">
        <v>1338</v>
      </c>
      <c r="F3" s="146" t="s">
        <v>1339</v>
      </c>
      <c r="G3" s="146" t="s">
        <v>1246</v>
      </c>
      <c r="H3" s="146" t="s">
        <v>1241</v>
      </c>
    </row>
    <row r="4" spans="1:8" s="118" customFormat="1">
      <c r="A4" s="118" t="s">
        <v>1194</v>
      </c>
    </row>
    <row r="5" spans="1:8" s="118" customFormat="1">
      <c r="A5" s="118" t="s">
        <v>1195</v>
      </c>
    </row>
    <row r="6" spans="1:8">
      <c r="A6" s="135">
        <v>1</v>
      </c>
      <c r="B6" s="148" t="s">
        <v>207</v>
      </c>
      <c r="C6" s="148" t="s">
        <v>1196</v>
      </c>
      <c r="D6" s="131">
        <v>255</v>
      </c>
      <c r="E6" s="135">
        <v>255</v>
      </c>
      <c r="F6" s="135">
        <v>255</v>
      </c>
      <c r="G6" s="135" t="s">
        <v>651</v>
      </c>
      <c r="H6" s="135" t="s">
        <v>652</v>
      </c>
    </row>
    <row r="7" spans="1:8">
      <c r="A7" s="135">
        <f>A6+1</f>
        <v>2</v>
      </c>
      <c r="B7" s="148" t="s">
        <v>208</v>
      </c>
      <c r="C7" s="148" t="s">
        <v>1197</v>
      </c>
      <c r="D7" s="131">
        <v>0</v>
      </c>
      <c r="E7" s="135">
        <v>255</v>
      </c>
      <c r="F7" s="135">
        <v>0</v>
      </c>
      <c r="G7" s="135" t="s">
        <v>1198</v>
      </c>
      <c r="H7" s="135" t="s">
        <v>1199</v>
      </c>
    </row>
    <row r="8" spans="1:8">
      <c r="A8" s="135">
        <f t="shared" ref="A8:A12" si="0">A7+1</f>
        <v>3</v>
      </c>
      <c r="B8" s="148" t="s">
        <v>209</v>
      </c>
      <c r="C8" s="148" t="s">
        <v>1200</v>
      </c>
      <c r="D8" s="131">
        <v>71</v>
      </c>
      <c r="E8" s="135">
        <v>84</v>
      </c>
      <c r="F8" s="135">
        <v>251</v>
      </c>
      <c r="G8" s="135" t="s">
        <v>1201</v>
      </c>
      <c r="H8" s="135" t="s">
        <v>1199</v>
      </c>
    </row>
    <row r="9" spans="1:8">
      <c r="A9" s="135">
        <f t="shared" si="0"/>
        <v>4</v>
      </c>
      <c r="B9" s="148" t="s">
        <v>210</v>
      </c>
      <c r="C9" s="148" t="s">
        <v>1202</v>
      </c>
      <c r="D9" s="131">
        <v>255</v>
      </c>
      <c r="E9" s="135">
        <v>228</v>
      </c>
      <c r="F9" s="135">
        <v>0</v>
      </c>
      <c r="G9" s="135" t="s">
        <v>653</v>
      </c>
      <c r="H9" s="135" t="s">
        <v>652</v>
      </c>
    </row>
    <row r="10" spans="1:8">
      <c r="A10" s="135">
        <f t="shared" si="0"/>
        <v>5</v>
      </c>
      <c r="B10" s="148" t="s">
        <v>211</v>
      </c>
      <c r="C10" s="148" t="s">
        <v>654</v>
      </c>
      <c r="D10" s="131">
        <v>255</v>
      </c>
      <c r="E10" s="135">
        <v>174</v>
      </c>
      <c r="F10" s="135">
        <v>0</v>
      </c>
      <c r="G10" s="135" t="s">
        <v>1203</v>
      </c>
      <c r="H10" s="135" t="s">
        <v>1204</v>
      </c>
    </row>
    <row r="11" spans="1:8">
      <c r="A11" s="135">
        <f t="shared" si="0"/>
        <v>6</v>
      </c>
      <c r="B11" s="148" t="s">
        <v>212</v>
      </c>
      <c r="C11" s="148" t="s">
        <v>1205</v>
      </c>
      <c r="D11" s="131">
        <v>255</v>
      </c>
      <c r="E11" s="135">
        <v>108</v>
      </c>
      <c r="F11" s="135">
        <v>0</v>
      </c>
      <c r="G11" s="135" t="s">
        <v>1206</v>
      </c>
      <c r="H11" s="135" t="s">
        <v>1215</v>
      </c>
    </row>
    <row r="12" spans="1:8">
      <c r="A12" s="135">
        <f t="shared" si="0"/>
        <v>7</v>
      </c>
      <c r="B12" s="148" t="s">
        <v>213</v>
      </c>
      <c r="C12" s="148" t="s">
        <v>1207</v>
      </c>
      <c r="D12" s="131">
        <v>216</v>
      </c>
      <c r="E12" s="135">
        <v>0</v>
      </c>
      <c r="F12" s="135">
        <v>255</v>
      </c>
      <c r="G12" s="135" t="s">
        <v>1208</v>
      </c>
      <c r="H12" s="135" t="s">
        <v>268</v>
      </c>
    </row>
  </sheetData>
  <phoneticPr fontId="10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/>
  <dimension ref="B2:J36"/>
  <sheetViews>
    <sheetView workbookViewId="0">
      <selection activeCell="E13" sqref="E13"/>
    </sheetView>
  </sheetViews>
  <sheetFormatPr defaultRowHeight="13.5"/>
  <cols>
    <col min="1" max="1" width="4.375" style="12" customWidth="1"/>
    <col min="2" max="8" width="18.875" style="12" customWidth="1"/>
    <col min="9" max="16384" width="9" style="12"/>
  </cols>
  <sheetData>
    <row r="2" spans="2:10">
      <c r="B2" s="12" t="s">
        <v>1468</v>
      </c>
    </row>
    <row r="3" spans="2:10">
      <c r="B3" s="13" t="s">
        <v>655</v>
      </c>
      <c r="C3" s="13"/>
      <c r="D3" s="13"/>
      <c r="E3" s="13"/>
      <c r="F3" s="13"/>
      <c r="G3" s="13"/>
    </row>
    <row r="4" spans="2:10">
      <c r="B4" s="12" t="s">
        <v>656</v>
      </c>
    </row>
    <row r="5" spans="2:10">
      <c r="B5" s="12" t="s">
        <v>657</v>
      </c>
    </row>
    <row r="7" spans="2:10">
      <c r="B7" s="98" t="s">
        <v>1470</v>
      </c>
      <c r="C7" s="98" t="s">
        <v>1461</v>
      </c>
      <c r="D7" s="98" t="s">
        <v>1462</v>
      </c>
      <c r="E7" s="98" t="s">
        <v>1485</v>
      </c>
      <c r="F7" s="98" t="s">
        <v>1486</v>
      </c>
      <c r="G7" s="98" t="s">
        <v>1463</v>
      </c>
      <c r="H7" s="98" t="s">
        <v>1464</v>
      </c>
    </row>
    <row r="8" spans="2:10">
      <c r="B8" s="197" t="s">
        <v>1373</v>
      </c>
      <c r="C8" s="197" t="s">
        <v>1233</v>
      </c>
      <c r="D8" s="197" t="s">
        <v>1374</v>
      </c>
      <c r="E8" s="98" t="s">
        <v>1467</v>
      </c>
      <c r="F8" s="98" t="s">
        <v>110</v>
      </c>
      <c r="G8" s="197" t="s">
        <v>1233</v>
      </c>
      <c r="H8" s="197" t="s">
        <v>1374</v>
      </c>
      <c r="J8" s="12" t="s">
        <v>1471</v>
      </c>
    </row>
    <row r="9" spans="2:10">
      <c r="B9" s="214"/>
      <c r="C9" s="98" t="s">
        <v>1465</v>
      </c>
      <c r="D9" s="98" t="s">
        <v>1466</v>
      </c>
      <c r="E9" s="98"/>
      <c r="F9" s="98"/>
      <c r="G9" s="98" t="s">
        <v>1465</v>
      </c>
      <c r="H9" s="98" t="s">
        <v>1466</v>
      </c>
      <c r="J9" s="12" t="s">
        <v>1472</v>
      </c>
    </row>
    <row r="10" spans="2:10">
      <c r="B10" s="214"/>
      <c r="C10" s="98"/>
      <c r="D10" s="192"/>
      <c r="E10" s="98"/>
      <c r="F10" s="192"/>
      <c r="G10" s="98" t="s">
        <v>1467</v>
      </c>
      <c r="H10" s="192"/>
      <c r="J10" s="12" t="s">
        <v>1469</v>
      </c>
    </row>
    <row r="11" spans="2:10">
      <c r="B11" s="215"/>
      <c r="C11" s="98"/>
      <c r="D11" s="98"/>
      <c r="E11" s="98"/>
      <c r="F11" s="98"/>
      <c r="G11" s="98"/>
      <c r="H11" s="98"/>
    </row>
    <row r="12" spans="2:10">
      <c r="B12" s="215"/>
      <c r="C12" s="98"/>
      <c r="D12" s="98"/>
      <c r="E12" s="98"/>
      <c r="F12" s="98"/>
      <c r="G12" s="98"/>
      <c r="H12" s="98"/>
    </row>
    <row r="13" spans="2:10">
      <c r="B13" s="215"/>
      <c r="C13" s="98"/>
      <c r="D13" s="98"/>
      <c r="E13" s="98"/>
      <c r="F13" s="98"/>
      <c r="G13" s="98"/>
      <c r="H13" s="98"/>
    </row>
    <row r="14" spans="2:10">
      <c r="B14" s="215"/>
      <c r="C14" s="98"/>
      <c r="D14" s="98"/>
      <c r="E14" s="98"/>
      <c r="F14" s="98"/>
      <c r="G14" s="98"/>
      <c r="H14" s="98"/>
    </row>
    <row r="15" spans="2:10">
      <c r="B15" s="215"/>
      <c r="C15" s="98"/>
      <c r="D15" s="98"/>
      <c r="E15" s="98"/>
      <c r="F15" s="98"/>
      <c r="G15" s="98"/>
      <c r="H15" s="98"/>
    </row>
    <row r="16" spans="2:10">
      <c r="B16" s="216"/>
      <c r="C16" s="192"/>
      <c r="D16" s="192"/>
      <c r="E16" s="192"/>
      <c r="F16" s="192"/>
      <c r="G16" s="192"/>
      <c r="H16" s="98"/>
    </row>
    <row r="17" spans="2:8">
      <c r="B17" s="215"/>
      <c r="C17" s="98"/>
      <c r="D17" s="98"/>
      <c r="E17" s="98"/>
      <c r="F17" s="98"/>
      <c r="G17" s="98"/>
      <c r="H17" s="98"/>
    </row>
    <row r="18" spans="2:8">
      <c r="B18" s="215"/>
      <c r="C18" s="98"/>
      <c r="D18" s="98"/>
      <c r="E18" s="98"/>
      <c r="F18" s="98"/>
      <c r="G18" s="98"/>
      <c r="H18" s="98"/>
    </row>
    <row r="19" spans="2:8">
      <c r="B19" s="215"/>
      <c r="C19" s="98"/>
      <c r="D19" s="98"/>
      <c r="E19" s="98"/>
      <c r="F19" s="98"/>
      <c r="G19" s="98"/>
      <c r="H19" s="98"/>
    </row>
    <row r="20" spans="2:8">
      <c r="B20" s="215"/>
      <c r="C20" s="98"/>
      <c r="D20" s="98"/>
      <c r="E20" s="98"/>
      <c r="F20" s="98"/>
      <c r="G20" s="98"/>
      <c r="H20" s="98"/>
    </row>
    <row r="21" spans="2:8">
      <c r="B21" s="215"/>
      <c r="C21" s="98"/>
      <c r="D21" s="98"/>
      <c r="E21" s="98"/>
      <c r="F21" s="98"/>
      <c r="G21" s="98"/>
      <c r="H21" s="98"/>
    </row>
    <row r="22" spans="2:8">
      <c r="B22" s="215"/>
      <c r="C22" s="98"/>
      <c r="D22" s="98"/>
      <c r="E22" s="98"/>
      <c r="F22" s="98"/>
      <c r="G22" s="98"/>
      <c r="H22" s="98"/>
    </row>
    <row r="23" spans="2:8">
      <c r="B23" s="215"/>
      <c r="C23" s="98"/>
      <c r="D23" s="98"/>
      <c r="E23" s="98"/>
      <c r="F23" s="98"/>
      <c r="G23" s="98"/>
      <c r="H23" s="98"/>
    </row>
    <row r="24" spans="2:8">
      <c r="B24" s="215"/>
      <c r="C24" s="98"/>
      <c r="D24" s="98"/>
      <c r="E24" s="98"/>
      <c r="F24" s="98"/>
      <c r="G24" s="98"/>
      <c r="H24" s="98"/>
    </row>
    <row r="25" spans="2:8">
      <c r="B25" s="215"/>
      <c r="C25" s="98"/>
      <c r="D25" s="98"/>
      <c r="E25" s="98"/>
      <c r="F25" s="98"/>
      <c r="G25" s="98"/>
      <c r="H25" s="98"/>
    </row>
    <row r="26" spans="2:8">
      <c r="B26" s="215"/>
      <c r="C26" s="98"/>
      <c r="D26" s="98"/>
      <c r="E26" s="98"/>
      <c r="F26" s="98"/>
      <c r="G26" s="98"/>
      <c r="H26" s="98"/>
    </row>
    <row r="27" spans="2:8">
      <c r="B27" s="215"/>
      <c r="C27" s="98"/>
      <c r="D27" s="98"/>
      <c r="E27" s="98"/>
      <c r="F27" s="98"/>
      <c r="G27" s="98"/>
      <c r="H27" s="98"/>
    </row>
    <row r="28" spans="2:8">
      <c r="B28" s="215"/>
      <c r="C28" s="98"/>
      <c r="D28" s="98"/>
      <c r="E28" s="98"/>
      <c r="F28" s="98"/>
      <c r="G28" s="98"/>
      <c r="H28" s="98"/>
    </row>
    <row r="29" spans="2:8">
      <c r="B29" s="215"/>
      <c r="C29" s="98"/>
      <c r="D29" s="98"/>
      <c r="E29" s="98"/>
      <c r="F29" s="98"/>
      <c r="G29" s="98"/>
      <c r="H29" s="98"/>
    </row>
    <row r="30" spans="2:8">
      <c r="B30" s="215"/>
      <c r="C30" s="98"/>
      <c r="D30" s="98"/>
      <c r="E30" s="98"/>
      <c r="F30" s="98"/>
      <c r="G30" s="98"/>
      <c r="H30" s="98"/>
    </row>
    <row r="31" spans="2:8">
      <c r="B31" s="215"/>
      <c r="C31" s="98"/>
      <c r="D31" s="98"/>
      <c r="E31" s="98"/>
      <c r="F31" s="98"/>
      <c r="G31" s="98"/>
      <c r="H31" s="98"/>
    </row>
    <row r="32" spans="2:8">
      <c r="B32" s="215"/>
      <c r="C32" s="98"/>
      <c r="D32" s="98"/>
      <c r="E32" s="98"/>
      <c r="F32" s="98"/>
      <c r="G32" s="98"/>
      <c r="H32" s="98"/>
    </row>
    <row r="33" spans="2:8">
      <c r="B33" s="215"/>
      <c r="C33" s="98"/>
      <c r="D33" s="98"/>
      <c r="E33" s="98"/>
      <c r="F33" s="98"/>
      <c r="G33" s="98"/>
      <c r="H33" s="98"/>
    </row>
    <row r="34" spans="2:8">
      <c r="B34" s="215"/>
      <c r="C34" s="98"/>
      <c r="D34" s="98"/>
      <c r="E34" s="98"/>
      <c r="F34" s="98"/>
      <c r="G34" s="98"/>
      <c r="H34" s="98"/>
    </row>
    <row r="35" spans="2:8">
      <c r="B35" s="215"/>
      <c r="C35" s="98"/>
      <c r="D35" s="98"/>
      <c r="E35" s="98"/>
      <c r="F35" s="98"/>
      <c r="G35" s="98"/>
      <c r="H35" s="98"/>
    </row>
    <row r="36" spans="2:8">
      <c r="B36" s="215"/>
      <c r="C36" s="98"/>
      <c r="D36" s="98"/>
      <c r="E36" s="98"/>
      <c r="F36" s="98"/>
      <c r="G36" s="98"/>
      <c r="H36" s="98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"/>
  <dimension ref="A2:I167"/>
  <sheetViews>
    <sheetView workbookViewId="0">
      <pane xSplit="3" ySplit="6" topLeftCell="D7" activePane="bottomRight" state="frozen"/>
      <selection activeCell="B144" sqref="B144"/>
      <selection pane="topRight" activeCell="B144" sqref="B144"/>
      <selection pane="bottomLeft" activeCell="B144" sqref="B144"/>
      <selection pane="bottomRight" activeCell="K63" sqref="K63"/>
    </sheetView>
  </sheetViews>
  <sheetFormatPr defaultRowHeight="13.5"/>
  <cols>
    <col min="1" max="1" width="2.625" style="16" customWidth="1"/>
    <col min="2" max="3" width="14.375" style="17" customWidth="1"/>
    <col min="4" max="5" width="16.75" style="17" customWidth="1"/>
    <col min="6" max="7" width="16" style="17" customWidth="1"/>
    <col min="8" max="8" width="18.125" style="17" customWidth="1"/>
    <col min="9" max="9" width="76.75" style="16" bestFit="1" customWidth="1"/>
    <col min="10" max="16384" width="9" style="16"/>
  </cols>
  <sheetData>
    <row r="2" spans="1:9">
      <c r="A2" s="16" t="s">
        <v>182</v>
      </c>
    </row>
    <row r="3" spans="1:9">
      <c r="A3" s="16" t="s">
        <v>183</v>
      </c>
    </row>
    <row r="4" spans="1:9" ht="14.25" thickBot="1"/>
    <row r="5" spans="1:9">
      <c r="B5" s="259" t="s">
        <v>184</v>
      </c>
      <c r="C5" s="33" t="s">
        <v>205</v>
      </c>
      <c r="D5" s="256" t="s">
        <v>185</v>
      </c>
      <c r="E5" s="257"/>
      <c r="F5" s="256" t="s">
        <v>186</v>
      </c>
      <c r="G5" s="258"/>
      <c r="H5" s="257"/>
      <c r="I5" s="261" t="s">
        <v>187</v>
      </c>
    </row>
    <row r="6" spans="1:9" ht="14.25" thickBot="1">
      <c r="B6" s="260"/>
      <c r="C6" s="34"/>
      <c r="D6" s="21" t="s">
        <v>188</v>
      </c>
      <c r="E6" s="22" t="s">
        <v>189</v>
      </c>
      <c r="F6" s="21" t="s">
        <v>188</v>
      </c>
      <c r="G6" s="20" t="s">
        <v>190</v>
      </c>
      <c r="H6" s="22" t="s">
        <v>189</v>
      </c>
      <c r="I6" s="262"/>
    </row>
    <row r="7" spans="1:9">
      <c r="B7" s="27"/>
      <c r="C7" s="27"/>
      <c r="D7" s="23"/>
      <c r="E7" s="24"/>
      <c r="F7" s="23"/>
      <c r="G7" s="19"/>
      <c r="H7" s="24"/>
      <c r="I7" s="28"/>
    </row>
    <row r="8" spans="1:9">
      <c r="B8" s="27"/>
      <c r="C8" s="27"/>
      <c r="D8" s="25"/>
      <c r="E8" s="26"/>
      <c r="F8" s="25"/>
      <c r="G8" s="18"/>
      <c r="H8" s="26"/>
      <c r="I8" s="29"/>
    </row>
    <row r="9" spans="1:9">
      <c r="B9" s="27"/>
      <c r="C9" s="27"/>
      <c r="D9" s="25"/>
      <c r="E9" s="26"/>
      <c r="F9" s="25"/>
      <c r="G9" s="18"/>
      <c r="H9" s="26"/>
      <c r="I9" s="29"/>
    </row>
    <row r="10" spans="1:9">
      <c r="B10" s="27"/>
      <c r="C10" s="27"/>
      <c r="D10" s="25"/>
      <c r="E10" s="26"/>
      <c r="F10" s="25"/>
      <c r="G10" s="18"/>
      <c r="H10" s="26"/>
      <c r="I10" s="29"/>
    </row>
    <row r="11" spans="1:9">
      <c r="B11" s="27"/>
      <c r="C11" s="27"/>
      <c r="D11" s="25"/>
      <c r="E11" s="26"/>
      <c r="F11" s="25"/>
      <c r="G11" s="18"/>
      <c r="H11" s="26"/>
      <c r="I11" s="29"/>
    </row>
    <row r="12" spans="1:9">
      <c r="B12" s="27"/>
      <c r="C12" s="27"/>
      <c r="D12" s="25"/>
      <c r="E12" s="26"/>
      <c r="F12" s="25"/>
      <c r="G12" s="18"/>
      <c r="H12" s="26"/>
      <c r="I12" s="29"/>
    </row>
    <row r="13" spans="1:9">
      <c r="B13" s="27"/>
      <c r="C13" s="27"/>
      <c r="D13" s="25"/>
      <c r="E13" s="26"/>
      <c r="F13" s="25"/>
      <c r="G13" s="18"/>
      <c r="H13" s="26"/>
      <c r="I13" s="29"/>
    </row>
    <row r="14" spans="1:9">
      <c r="B14" s="27"/>
      <c r="C14" s="27"/>
      <c r="D14" s="25"/>
      <c r="E14" s="26"/>
      <c r="F14" s="25"/>
      <c r="G14" s="18"/>
      <c r="H14" s="26"/>
      <c r="I14" s="29"/>
    </row>
    <row r="15" spans="1:9">
      <c r="B15" s="27"/>
      <c r="C15" s="27"/>
      <c r="D15" s="25"/>
      <c r="E15" s="26"/>
      <c r="F15" s="25"/>
      <c r="G15" s="18"/>
      <c r="H15" s="26"/>
      <c r="I15" s="29"/>
    </row>
    <row r="16" spans="1:9">
      <c r="B16" s="27"/>
      <c r="C16" s="27"/>
      <c r="D16" s="25"/>
      <c r="E16" s="26"/>
      <c r="F16" s="25"/>
      <c r="G16" s="18"/>
      <c r="H16" s="26"/>
      <c r="I16" s="29"/>
    </row>
    <row r="17" spans="2:9">
      <c r="B17" s="27"/>
      <c r="C17" s="27"/>
      <c r="D17" s="25"/>
      <c r="E17" s="26"/>
      <c r="F17" s="25"/>
      <c r="G17" s="18"/>
      <c r="H17" s="26"/>
      <c r="I17" s="29"/>
    </row>
    <row r="18" spans="2:9">
      <c r="B18" s="27"/>
      <c r="C18" s="27"/>
      <c r="D18" s="25"/>
      <c r="E18" s="26"/>
      <c r="F18" s="25"/>
      <c r="G18" s="26"/>
      <c r="H18" s="26"/>
      <c r="I18" s="29"/>
    </row>
    <row r="19" spans="2:9">
      <c r="B19" s="27"/>
      <c r="C19" s="27"/>
      <c r="D19" s="25"/>
      <c r="E19" s="26"/>
      <c r="F19" s="25"/>
      <c r="G19" s="18"/>
      <c r="H19" s="26"/>
      <c r="I19" s="29"/>
    </row>
    <row r="20" spans="2:9">
      <c r="B20" s="27"/>
      <c r="C20" s="27"/>
      <c r="D20" s="25"/>
      <c r="E20" s="26"/>
      <c r="F20" s="25"/>
      <c r="G20" s="18"/>
      <c r="H20" s="26"/>
      <c r="I20" s="29"/>
    </row>
    <row r="21" spans="2:9">
      <c r="B21" s="27"/>
      <c r="C21" s="27"/>
      <c r="D21" s="25"/>
      <c r="E21" s="26"/>
      <c r="F21" s="25"/>
      <c r="G21" s="18"/>
      <c r="H21" s="26"/>
      <c r="I21" s="29"/>
    </row>
    <row r="22" spans="2:9">
      <c r="B22" s="40"/>
      <c r="C22" s="30"/>
      <c r="D22" s="25"/>
      <c r="E22" s="26"/>
      <c r="F22" s="25"/>
      <c r="G22" s="18"/>
      <c r="H22" s="26"/>
      <c r="I22" s="29"/>
    </row>
    <row r="23" spans="2:9">
      <c r="B23" s="27"/>
      <c r="C23" s="27"/>
      <c r="D23" s="25"/>
      <c r="E23" s="26"/>
      <c r="F23" s="25"/>
      <c r="G23" s="18"/>
      <c r="H23" s="26"/>
      <c r="I23" s="29"/>
    </row>
    <row r="24" spans="2:9">
      <c r="B24" s="40"/>
      <c r="C24" s="30"/>
      <c r="D24" s="25"/>
      <c r="E24" s="26"/>
      <c r="F24" s="25"/>
      <c r="G24" s="18"/>
      <c r="H24" s="26"/>
      <c r="I24" s="29"/>
    </row>
    <row r="25" spans="2:9">
      <c r="B25" s="40"/>
      <c r="C25" s="30"/>
      <c r="D25" s="25"/>
      <c r="E25" s="26"/>
      <c r="F25" s="25"/>
      <c r="G25" s="18"/>
      <c r="H25" s="26"/>
      <c r="I25" s="29"/>
    </row>
    <row r="26" spans="2:9">
      <c r="B26" s="40"/>
      <c r="C26" s="30"/>
      <c r="D26" s="25"/>
      <c r="E26" s="26"/>
      <c r="F26" s="25"/>
      <c r="G26" s="18"/>
      <c r="H26" s="26"/>
      <c r="I26" s="29"/>
    </row>
    <row r="27" spans="2:9">
      <c r="B27" s="40"/>
      <c r="C27" s="30"/>
      <c r="D27" s="25"/>
      <c r="E27" s="26"/>
      <c r="F27" s="25"/>
      <c r="G27" s="18"/>
      <c r="H27" s="26"/>
      <c r="I27" s="29"/>
    </row>
    <row r="28" spans="2:9">
      <c r="B28" s="40"/>
      <c r="C28" s="30"/>
      <c r="D28" s="25"/>
      <c r="E28" s="26"/>
      <c r="F28" s="25"/>
      <c r="G28" s="18"/>
      <c r="H28" s="26"/>
      <c r="I28" s="29"/>
    </row>
    <row r="29" spans="2:9">
      <c r="B29" s="40"/>
      <c r="C29" s="30"/>
      <c r="D29" s="25"/>
      <c r="E29" s="26"/>
      <c r="F29" s="25"/>
      <c r="G29" s="18"/>
      <c r="H29" s="26"/>
      <c r="I29" s="29"/>
    </row>
    <row r="30" spans="2:9">
      <c r="B30" s="40"/>
      <c r="C30" s="30"/>
      <c r="D30" s="25"/>
      <c r="E30" s="26"/>
      <c r="F30" s="25"/>
      <c r="G30" s="18"/>
      <c r="H30" s="26"/>
      <c r="I30" s="29"/>
    </row>
    <row r="31" spans="2:9">
      <c r="B31" s="40"/>
      <c r="C31" s="30"/>
      <c r="D31" s="25"/>
      <c r="E31" s="26"/>
      <c r="F31" s="25"/>
      <c r="G31" s="18"/>
      <c r="H31" s="26"/>
      <c r="I31" s="29"/>
    </row>
    <row r="32" spans="2:9">
      <c r="B32" s="40"/>
      <c r="C32" s="30"/>
      <c r="D32" s="25"/>
      <c r="E32" s="26"/>
      <c r="F32" s="25"/>
      <c r="G32" s="18"/>
      <c r="H32" s="26"/>
      <c r="I32" s="29"/>
    </row>
    <row r="33" spans="2:9">
      <c r="B33" s="40"/>
      <c r="C33" s="30"/>
      <c r="D33" s="25"/>
      <c r="E33" s="26"/>
      <c r="F33" s="25"/>
      <c r="G33" s="18"/>
      <c r="H33" s="18"/>
      <c r="I33" s="29"/>
    </row>
    <row r="34" spans="2:9">
      <c r="B34" s="40"/>
      <c r="C34" s="30"/>
      <c r="D34" s="25"/>
      <c r="E34" s="26"/>
      <c r="F34" s="25"/>
      <c r="G34" s="18"/>
      <c r="H34" s="26"/>
      <c r="I34" s="29"/>
    </row>
    <row r="35" spans="2:9">
      <c r="B35" s="40"/>
      <c r="C35" s="30"/>
      <c r="D35" s="25"/>
      <c r="E35" s="26"/>
      <c r="F35" s="25"/>
      <c r="G35" s="26"/>
      <c r="H35" s="26"/>
      <c r="I35" s="29"/>
    </row>
    <row r="36" spans="2:9">
      <c r="B36" s="40"/>
      <c r="C36" s="30"/>
      <c r="D36" s="25"/>
      <c r="E36" s="26"/>
      <c r="F36" s="25"/>
      <c r="G36" s="18"/>
      <c r="H36" s="26"/>
      <c r="I36" s="29"/>
    </row>
    <row r="37" spans="2:9">
      <c r="B37" s="40"/>
      <c r="C37" s="30"/>
      <c r="D37" s="25"/>
      <c r="E37" s="26"/>
      <c r="F37" s="25"/>
      <c r="G37" s="18"/>
      <c r="H37" s="26"/>
      <c r="I37" s="29"/>
    </row>
    <row r="38" spans="2:9">
      <c r="B38" s="40"/>
      <c r="C38" s="30"/>
      <c r="D38" s="25"/>
      <c r="E38" s="26"/>
      <c r="F38" s="25"/>
      <c r="G38" s="18"/>
      <c r="H38" s="26"/>
      <c r="I38" s="29"/>
    </row>
    <row r="39" spans="2:9">
      <c r="B39" s="40"/>
      <c r="C39" s="30"/>
      <c r="D39" s="25"/>
      <c r="E39" s="26"/>
      <c r="F39" s="25"/>
      <c r="G39" s="18"/>
      <c r="H39" s="26"/>
      <c r="I39" s="29"/>
    </row>
    <row r="40" spans="2:9">
      <c r="B40" s="40"/>
      <c r="C40" s="30"/>
      <c r="D40" s="25"/>
      <c r="E40" s="26"/>
      <c r="F40" s="25"/>
      <c r="G40" s="26"/>
      <c r="H40" s="26"/>
      <c r="I40" s="29"/>
    </row>
    <row r="41" spans="2:9">
      <c r="B41" s="40"/>
      <c r="C41" s="30"/>
      <c r="D41" s="25"/>
      <c r="E41" s="26"/>
      <c r="F41" s="25"/>
      <c r="G41" s="18"/>
      <c r="H41" s="26"/>
      <c r="I41" s="29"/>
    </row>
    <row r="42" spans="2:9">
      <c r="B42" s="51"/>
      <c r="C42" s="50"/>
      <c r="D42" s="47"/>
      <c r="E42" s="48"/>
      <c r="F42" s="47"/>
      <c r="G42" s="46"/>
      <c r="H42" s="48"/>
      <c r="I42" s="49"/>
    </row>
    <row r="43" spans="2:9">
      <c r="B43" s="51"/>
      <c r="C43" s="50"/>
      <c r="D43" s="47"/>
      <c r="E43" s="48"/>
      <c r="F43" s="47"/>
      <c r="G43" s="46"/>
      <c r="H43" s="48"/>
      <c r="I43" s="49"/>
    </row>
    <row r="44" spans="2:9">
      <c r="B44" s="51"/>
      <c r="C44" s="50"/>
      <c r="D44" s="47"/>
      <c r="E44" s="48"/>
      <c r="F44" s="47"/>
      <c r="G44" s="46"/>
      <c r="H44" s="48"/>
      <c r="I44" s="49"/>
    </row>
    <row r="45" spans="2:9">
      <c r="B45" s="51"/>
      <c r="C45" s="50"/>
      <c r="D45" s="47"/>
      <c r="E45" s="48"/>
      <c r="F45" s="47"/>
      <c r="G45" s="46"/>
      <c r="H45" s="48"/>
      <c r="I45" s="49"/>
    </row>
    <row r="46" spans="2:9">
      <c r="B46" s="51"/>
      <c r="C46" s="50"/>
      <c r="D46" s="47"/>
      <c r="E46" s="48"/>
      <c r="F46" s="47"/>
      <c r="G46" s="46"/>
      <c r="H46" s="48"/>
      <c r="I46" s="49"/>
    </row>
    <row r="47" spans="2:9">
      <c r="B47" s="51"/>
      <c r="C47" s="50"/>
      <c r="D47" s="47"/>
      <c r="E47" s="48"/>
      <c r="F47" s="47"/>
      <c r="G47" s="46"/>
      <c r="H47" s="48"/>
      <c r="I47" s="49"/>
    </row>
    <row r="48" spans="2:9">
      <c r="B48" s="51"/>
      <c r="C48" s="50"/>
      <c r="D48" s="47"/>
      <c r="E48" s="48"/>
      <c r="F48" s="47"/>
      <c r="G48" s="46"/>
      <c r="H48" s="48"/>
      <c r="I48" s="49"/>
    </row>
    <row r="49" spans="2:9">
      <c r="B49" s="56"/>
      <c r="C49" s="55"/>
      <c r="D49" s="53"/>
      <c r="E49" s="54"/>
      <c r="F49" s="53"/>
      <c r="G49" s="18"/>
      <c r="H49" s="26"/>
      <c r="I49" s="29"/>
    </row>
    <row r="50" spans="2:9">
      <c r="B50" s="56"/>
      <c r="C50" s="55"/>
      <c r="D50" s="53"/>
      <c r="E50" s="26"/>
      <c r="F50" s="53"/>
      <c r="G50" s="52"/>
      <c r="H50" s="54"/>
      <c r="I50" s="29"/>
    </row>
    <row r="51" spans="2:9" s="57" customFormat="1">
      <c r="B51" s="68"/>
      <c r="C51" s="67"/>
      <c r="D51" s="64"/>
      <c r="E51" s="65"/>
      <c r="F51" s="64"/>
      <c r="G51" s="63"/>
      <c r="H51" s="65"/>
      <c r="I51" s="66"/>
    </row>
    <row r="52" spans="2:9" s="57" customFormat="1">
      <c r="B52" s="68"/>
      <c r="C52" s="67"/>
      <c r="D52" s="64"/>
      <c r="E52" s="65"/>
      <c r="F52" s="64"/>
      <c r="G52" s="63"/>
      <c r="H52" s="65"/>
      <c r="I52" s="66"/>
    </row>
    <row r="53" spans="2:9" s="57" customFormat="1">
      <c r="B53" s="68"/>
      <c r="C53" s="67"/>
      <c r="D53" s="64"/>
      <c r="E53" s="65"/>
      <c r="F53" s="64"/>
      <c r="G53" s="63"/>
      <c r="H53" s="65"/>
      <c r="I53" s="66"/>
    </row>
    <row r="54" spans="2:9" s="57" customFormat="1">
      <c r="B54" s="68"/>
      <c r="C54" s="67"/>
      <c r="D54" s="64"/>
      <c r="E54" s="65"/>
      <c r="F54" s="64"/>
      <c r="G54" s="63"/>
      <c r="H54" s="65"/>
      <c r="I54" s="66"/>
    </row>
    <row r="55" spans="2:9" s="57" customFormat="1">
      <c r="B55" s="68"/>
      <c r="C55" s="67"/>
      <c r="D55" s="64"/>
      <c r="E55" s="65"/>
      <c r="F55" s="64"/>
      <c r="G55" s="63"/>
      <c r="H55" s="65"/>
      <c r="I55" s="66"/>
    </row>
    <row r="56" spans="2:9" s="57" customFormat="1">
      <c r="B56" s="68"/>
      <c r="C56" s="67"/>
      <c r="D56" s="64"/>
      <c r="E56" s="65"/>
      <c r="F56" s="64"/>
      <c r="G56" s="63"/>
      <c r="H56" s="65"/>
      <c r="I56" s="66"/>
    </row>
    <row r="57" spans="2:9" s="57" customFormat="1">
      <c r="B57" s="68"/>
      <c r="C57" s="67"/>
      <c r="D57" s="64"/>
      <c r="E57" s="65"/>
      <c r="F57" s="64"/>
      <c r="G57" s="63"/>
      <c r="H57" s="65"/>
      <c r="I57" s="66"/>
    </row>
    <row r="58" spans="2:9" s="57" customFormat="1">
      <c r="B58" s="68"/>
      <c r="C58" s="67"/>
      <c r="D58" s="64"/>
      <c r="E58" s="65"/>
      <c r="F58" s="64"/>
      <c r="G58" s="63"/>
      <c r="H58" s="65"/>
      <c r="I58" s="66"/>
    </row>
    <row r="59" spans="2:9" s="57" customFormat="1">
      <c r="B59" s="68"/>
      <c r="C59" s="67"/>
      <c r="D59" s="64"/>
      <c r="E59" s="65"/>
      <c r="F59" s="64"/>
      <c r="G59" s="63"/>
      <c r="H59" s="65"/>
      <c r="I59" s="66"/>
    </row>
    <row r="60" spans="2:9" s="57" customFormat="1">
      <c r="B60" s="68"/>
      <c r="C60" s="67"/>
      <c r="D60" s="64"/>
      <c r="E60" s="65"/>
      <c r="F60" s="64"/>
      <c r="G60" s="63"/>
      <c r="H60" s="65"/>
      <c r="I60" s="66"/>
    </row>
    <row r="61" spans="2:9" s="57" customFormat="1">
      <c r="B61" s="68"/>
      <c r="C61" s="67"/>
      <c r="D61" s="64"/>
      <c r="E61" s="65"/>
      <c r="F61" s="64"/>
      <c r="G61" s="63"/>
      <c r="H61" s="65"/>
      <c r="I61" s="66"/>
    </row>
    <row r="62" spans="2:9" s="57" customFormat="1">
      <c r="B62" s="68"/>
      <c r="C62" s="67"/>
      <c r="D62" s="64"/>
      <c r="E62" s="65"/>
      <c r="F62" s="64"/>
      <c r="G62" s="63"/>
      <c r="H62" s="65"/>
      <c r="I62" s="66"/>
    </row>
    <row r="63" spans="2:9" s="57" customFormat="1">
      <c r="B63" s="74"/>
      <c r="C63" s="73"/>
      <c r="D63" s="70"/>
      <c r="E63" s="71"/>
      <c r="F63" s="70"/>
      <c r="G63" s="69"/>
      <c r="H63" s="71"/>
      <c r="I63" s="72"/>
    </row>
    <row r="64" spans="2:9" s="57" customFormat="1">
      <c r="B64" s="74"/>
      <c r="C64" s="73"/>
      <c r="D64" s="70"/>
      <c r="E64" s="71"/>
      <c r="F64" s="70"/>
      <c r="G64" s="69"/>
      <c r="H64" s="71"/>
      <c r="I64" s="72"/>
    </row>
    <row r="65" spans="2:9" s="57" customFormat="1">
      <c r="B65" s="62"/>
      <c r="C65" s="61"/>
      <c r="D65" s="58"/>
      <c r="E65" s="59"/>
      <c r="F65" s="70"/>
      <c r="G65" s="69"/>
      <c r="H65" s="59"/>
      <c r="I65" s="60"/>
    </row>
    <row r="66" spans="2:9" s="57" customFormat="1">
      <c r="B66" s="74"/>
      <c r="C66" s="73"/>
      <c r="D66" s="70"/>
      <c r="E66" s="71"/>
      <c r="F66" s="70"/>
      <c r="G66" s="69"/>
      <c r="H66" s="75"/>
      <c r="I66" s="72"/>
    </row>
    <row r="67" spans="2:9" s="57" customFormat="1">
      <c r="B67" s="74"/>
      <c r="C67" s="73"/>
      <c r="D67" s="70"/>
      <c r="E67" s="75"/>
      <c r="F67" s="70"/>
      <c r="G67" s="69"/>
      <c r="H67" s="75"/>
      <c r="I67" s="72"/>
    </row>
    <row r="68" spans="2:9" s="57" customFormat="1">
      <c r="B68" s="74"/>
      <c r="C68" s="73"/>
      <c r="D68" s="70"/>
      <c r="E68" s="71"/>
      <c r="F68" s="70"/>
      <c r="G68" s="69"/>
      <c r="H68" s="75"/>
      <c r="I68" s="72"/>
    </row>
    <row r="69" spans="2:9" s="57" customFormat="1">
      <c r="B69" s="74"/>
      <c r="C69" s="73"/>
      <c r="D69" s="70"/>
      <c r="E69" s="71"/>
      <c r="F69" s="70"/>
      <c r="G69" s="69"/>
      <c r="H69" s="69"/>
      <c r="I69" s="72"/>
    </row>
    <row r="70" spans="2:9">
      <c r="B70" s="74"/>
      <c r="C70" s="73"/>
      <c r="D70" s="70"/>
      <c r="E70" s="26"/>
      <c r="F70" s="70"/>
      <c r="G70" s="18"/>
      <c r="H70" s="26"/>
      <c r="I70" s="29"/>
    </row>
    <row r="71" spans="2:9" s="57" customFormat="1">
      <c r="B71" s="74"/>
      <c r="C71" s="73"/>
      <c r="D71" s="70"/>
      <c r="E71" s="71"/>
      <c r="F71" s="70"/>
      <c r="G71" s="69"/>
      <c r="H71" s="71"/>
      <c r="I71" s="72"/>
    </row>
    <row r="72" spans="2:9" s="57" customFormat="1">
      <c r="B72" s="74"/>
      <c r="C72" s="73"/>
      <c r="D72" s="70"/>
      <c r="E72" s="71"/>
      <c r="F72" s="70"/>
      <c r="G72" s="69"/>
      <c r="H72" s="71"/>
      <c r="I72" s="72"/>
    </row>
    <row r="73" spans="2:9" s="57" customFormat="1">
      <c r="B73" s="74"/>
      <c r="C73" s="73"/>
      <c r="D73" s="70"/>
      <c r="E73" s="71"/>
      <c r="F73" s="70"/>
      <c r="G73" s="69"/>
      <c r="H73" s="71"/>
      <c r="I73" s="72"/>
    </row>
    <row r="74" spans="2:9" s="57" customFormat="1">
      <c r="B74" s="85"/>
      <c r="C74" s="84"/>
      <c r="D74" s="81"/>
      <c r="E74" s="82"/>
      <c r="F74" s="81"/>
      <c r="G74" s="80"/>
      <c r="H74" s="82"/>
      <c r="I74" s="83"/>
    </row>
    <row r="75" spans="2:9" s="57" customFormat="1">
      <c r="B75" s="85"/>
      <c r="C75" s="84"/>
      <c r="D75" s="81"/>
      <c r="E75" s="82"/>
      <c r="F75" s="81"/>
      <c r="G75" s="80"/>
      <c r="H75" s="82"/>
      <c r="I75" s="83"/>
    </row>
    <row r="76" spans="2:9" s="57" customFormat="1">
      <c r="B76" s="85"/>
      <c r="C76" s="84"/>
      <c r="D76" s="81"/>
      <c r="E76" s="82"/>
      <c r="F76" s="81"/>
      <c r="G76" s="80"/>
      <c r="H76" s="82"/>
      <c r="I76" s="83"/>
    </row>
    <row r="77" spans="2:9" s="57" customFormat="1">
      <c r="B77" s="85"/>
      <c r="C77" s="84"/>
      <c r="D77" s="81"/>
      <c r="E77" s="82"/>
      <c r="F77" s="81"/>
      <c r="G77" s="80"/>
      <c r="H77" s="82"/>
      <c r="I77" s="83"/>
    </row>
    <row r="78" spans="2:9" s="57" customFormat="1">
      <c r="B78" s="85"/>
      <c r="C78" s="84"/>
      <c r="D78" s="81"/>
      <c r="E78" s="82"/>
      <c r="F78" s="81"/>
      <c r="G78" s="80"/>
      <c r="H78" s="82"/>
      <c r="I78" s="83"/>
    </row>
    <row r="79" spans="2:9" s="57" customFormat="1">
      <c r="B79" s="85"/>
      <c r="C79" s="84"/>
      <c r="D79" s="81"/>
      <c r="E79" s="82"/>
      <c r="F79" s="81"/>
      <c r="G79" s="80"/>
      <c r="H79" s="82"/>
      <c r="I79" s="83"/>
    </row>
    <row r="80" spans="2:9" s="57" customFormat="1">
      <c r="B80" s="85"/>
      <c r="C80" s="84"/>
      <c r="D80" s="81"/>
      <c r="E80" s="82"/>
      <c r="F80" s="81"/>
      <c r="G80" s="80"/>
      <c r="H80" s="82"/>
      <c r="I80" s="83"/>
    </row>
    <row r="81" spans="2:9" s="57" customFormat="1">
      <c r="B81" s="85"/>
      <c r="C81" s="84"/>
      <c r="D81" s="81"/>
      <c r="E81" s="82"/>
      <c r="F81" s="81"/>
      <c r="G81" s="80"/>
      <c r="H81" s="82"/>
      <c r="I81" s="83"/>
    </row>
    <row r="82" spans="2:9" s="57" customFormat="1">
      <c r="B82" s="85"/>
      <c r="C82" s="84"/>
      <c r="D82" s="81"/>
      <c r="E82" s="82"/>
      <c r="F82" s="81"/>
      <c r="G82" s="80"/>
      <c r="H82" s="82"/>
      <c r="I82" s="83"/>
    </row>
    <row r="83" spans="2:9" s="57" customFormat="1">
      <c r="B83" s="85"/>
      <c r="C83" s="84"/>
      <c r="D83" s="81"/>
      <c r="E83" s="82"/>
      <c r="F83" s="81"/>
      <c r="G83" s="80"/>
      <c r="H83" s="82"/>
      <c r="I83" s="83"/>
    </row>
    <row r="84" spans="2:9" s="57" customFormat="1">
      <c r="B84" s="85"/>
      <c r="C84" s="84"/>
      <c r="D84" s="81"/>
      <c r="E84" s="82"/>
      <c r="F84" s="81"/>
      <c r="G84" s="80"/>
      <c r="H84" s="82"/>
      <c r="I84" s="83"/>
    </row>
    <row r="85" spans="2:9" s="57" customFormat="1">
      <c r="B85" s="85"/>
      <c r="C85" s="84"/>
      <c r="D85" s="81"/>
      <c r="E85" s="82"/>
      <c r="F85" s="81"/>
      <c r="G85" s="80"/>
      <c r="H85" s="82"/>
      <c r="I85" s="83"/>
    </row>
    <row r="86" spans="2:9" s="57" customFormat="1">
      <c r="B86" s="74"/>
      <c r="C86" s="90"/>
      <c r="D86" s="70"/>
      <c r="E86" s="71"/>
      <c r="F86" s="87"/>
      <c r="G86" s="69"/>
      <c r="H86" s="71"/>
      <c r="I86" s="72"/>
    </row>
    <row r="87" spans="2:9" s="57" customFormat="1">
      <c r="B87" s="91"/>
      <c r="C87" s="90"/>
      <c r="D87" s="87"/>
      <c r="E87" s="88"/>
      <c r="F87" s="87"/>
      <c r="G87" s="86"/>
      <c r="H87" s="88"/>
      <c r="I87" s="89"/>
    </row>
    <row r="88" spans="2:9" s="57" customFormat="1">
      <c r="B88" s="91"/>
      <c r="C88" s="90"/>
      <c r="D88" s="87"/>
      <c r="E88" s="88"/>
      <c r="F88" s="87"/>
      <c r="G88" s="86"/>
      <c r="H88" s="88"/>
      <c r="I88" s="89"/>
    </row>
    <row r="89" spans="2:9" s="57" customFormat="1">
      <c r="B89" s="91"/>
      <c r="C89" s="90"/>
      <c r="D89" s="87"/>
      <c r="E89" s="88"/>
      <c r="F89" s="87"/>
      <c r="G89" s="86"/>
      <c r="H89" s="88"/>
      <c r="I89" s="89"/>
    </row>
    <row r="90" spans="2:9" s="57" customFormat="1">
      <c r="B90" s="91"/>
      <c r="C90" s="90"/>
      <c r="D90" s="87"/>
      <c r="E90" s="88"/>
      <c r="F90" s="87"/>
      <c r="G90" s="86"/>
      <c r="H90" s="88"/>
      <c r="I90" s="89"/>
    </row>
    <row r="91" spans="2:9" s="57" customFormat="1">
      <c r="B91" s="97"/>
      <c r="C91" s="96"/>
      <c r="D91" s="93"/>
      <c r="E91" s="94"/>
      <c r="F91" s="93"/>
      <c r="G91" s="92"/>
      <c r="H91" s="94"/>
      <c r="I91" s="95"/>
    </row>
    <row r="92" spans="2:9" s="57" customFormat="1">
      <c r="B92" s="97"/>
      <c r="C92" s="96"/>
      <c r="D92" s="93"/>
      <c r="E92" s="94"/>
      <c r="F92" s="93"/>
      <c r="G92" s="92"/>
      <c r="H92" s="94"/>
      <c r="I92" s="95"/>
    </row>
    <row r="93" spans="2:9" s="57" customFormat="1">
      <c r="B93" s="97"/>
      <c r="C93" s="96"/>
      <c r="D93" s="93"/>
      <c r="E93" s="94"/>
      <c r="F93" s="93"/>
      <c r="G93" s="92"/>
      <c r="H93" s="93"/>
      <c r="I93" s="95"/>
    </row>
    <row r="94" spans="2:9" s="57" customFormat="1">
      <c r="B94" s="97"/>
      <c r="C94" s="96"/>
      <c r="D94" s="93"/>
      <c r="E94" s="94"/>
      <c r="F94" s="93"/>
      <c r="G94" s="92"/>
      <c r="H94" s="94"/>
      <c r="I94" s="95"/>
    </row>
    <row r="95" spans="2:9" s="57" customFormat="1">
      <c r="B95" s="97"/>
      <c r="C95" s="96"/>
      <c r="D95" s="93"/>
      <c r="E95" s="94"/>
      <c r="F95" s="93"/>
      <c r="G95" s="93"/>
      <c r="H95" s="94"/>
      <c r="I95" s="95"/>
    </row>
    <row r="96" spans="2:9" s="57" customFormat="1">
      <c r="B96" s="97"/>
      <c r="C96" s="96"/>
      <c r="D96" s="93"/>
      <c r="E96" s="94"/>
      <c r="F96" s="93"/>
      <c r="G96" s="92"/>
      <c r="H96" s="94"/>
      <c r="I96" s="95"/>
    </row>
    <row r="97" spans="2:9" s="57" customFormat="1">
      <c r="B97" s="97"/>
      <c r="C97" s="96"/>
      <c r="D97" s="93"/>
      <c r="E97" s="94"/>
      <c r="F97" s="93"/>
      <c r="G97" s="92"/>
      <c r="H97" s="94"/>
      <c r="I97" s="95"/>
    </row>
    <row r="98" spans="2:9" s="57" customFormat="1">
      <c r="B98" s="97"/>
      <c r="C98" s="96"/>
      <c r="D98" s="93"/>
      <c r="E98" s="94"/>
      <c r="F98" s="93"/>
      <c r="G98" s="92"/>
      <c r="H98" s="94"/>
      <c r="I98" s="95"/>
    </row>
    <row r="99" spans="2:9" s="57" customFormat="1">
      <c r="B99" s="97"/>
      <c r="C99" s="96"/>
      <c r="D99" s="93"/>
      <c r="E99" s="94"/>
      <c r="F99" s="93"/>
      <c r="G99" s="92"/>
      <c r="H99" s="94"/>
      <c r="I99" s="95"/>
    </row>
    <row r="100" spans="2:9" s="57" customFormat="1">
      <c r="B100" s="97"/>
      <c r="C100" s="96"/>
      <c r="D100" s="93"/>
      <c r="E100" s="94"/>
      <c r="F100" s="93"/>
      <c r="G100" s="92"/>
      <c r="H100" s="94"/>
      <c r="I100" s="95"/>
    </row>
    <row r="101" spans="2:9">
      <c r="B101" s="97"/>
      <c r="C101" s="96"/>
      <c r="D101" s="93"/>
      <c r="E101" s="94"/>
      <c r="F101" s="93"/>
      <c r="G101" s="92"/>
      <c r="H101" s="94"/>
      <c r="I101" s="95"/>
    </row>
    <row r="102" spans="2:9" s="57" customFormat="1">
      <c r="B102" s="97"/>
      <c r="C102" s="96"/>
      <c r="D102" s="93"/>
      <c r="E102" s="94"/>
      <c r="F102" s="93"/>
      <c r="G102" s="92"/>
      <c r="H102" s="94"/>
      <c r="I102" s="95"/>
    </row>
    <row r="103" spans="2:9" s="57" customFormat="1">
      <c r="B103" s="97"/>
      <c r="C103" s="96"/>
      <c r="D103" s="93"/>
      <c r="E103" s="94"/>
      <c r="F103" s="93"/>
      <c r="G103" s="92"/>
      <c r="H103" s="94"/>
      <c r="I103" s="95"/>
    </row>
    <row r="104" spans="2:9" s="57" customFormat="1">
      <c r="B104" s="97"/>
      <c r="C104" s="96"/>
      <c r="D104" s="93"/>
      <c r="E104" s="94"/>
      <c r="F104" s="93"/>
      <c r="G104" s="92"/>
      <c r="H104" s="94"/>
      <c r="I104" s="95"/>
    </row>
    <row r="105" spans="2:9" s="57" customFormat="1">
      <c r="B105" s="97"/>
      <c r="C105" s="96"/>
      <c r="D105" s="93"/>
      <c r="E105" s="94"/>
      <c r="F105" s="93"/>
      <c r="G105" s="92"/>
      <c r="H105" s="94"/>
      <c r="I105" s="95"/>
    </row>
    <row r="106" spans="2:9" s="57" customFormat="1">
      <c r="B106" s="97"/>
      <c r="C106" s="96"/>
      <c r="D106" s="93"/>
      <c r="E106" s="94"/>
      <c r="F106" s="93"/>
      <c r="G106" s="92"/>
      <c r="H106" s="94"/>
      <c r="I106" s="95"/>
    </row>
    <row r="107" spans="2:9" s="57" customFormat="1">
      <c r="B107" s="97"/>
      <c r="C107" s="96"/>
      <c r="D107" s="93"/>
      <c r="E107" s="94"/>
      <c r="F107" s="93"/>
      <c r="G107" s="92"/>
      <c r="H107" s="94"/>
      <c r="I107" s="95"/>
    </row>
    <row r="108" spans="2:9" s="57" customFormat="1">
      <c r="B108" s="97"/>
      <c r="C108" s="96"/>
      <c r="D108" s="93"/>
      <c r="E108" s="94"/>
      <c r="F108" s="93"/>
      <c r="G108" s="92"/>
      <c r="H108" s="94"/>
      <c r="I108" s="95"/>
    </row>
    <row r="109" spans="2:9" s="57" customFormat="1">
      <c r="B109" s="97"/>
      <c r="C109" s="96"/>
      <c r="D109" s="93"/>
      <c r="E109" s="94"/>
      <c r="F109" s="93"/>
      <c r="G109" s="92"/>
      <c r="H109" s="94"/>
      <c r="I109" s="95"/>
    </row>
    <row r="110" spans="2:9" s="57" customFormat="1">
      <c r="B110" s="97"/>
      <c r="C110" s="96"/>
      <c r="D110" s="93"/>
      <c r="E110" s="94"/>
      <c r="F110" s="93"/>
      <c r="G110" s="92"/>
      <c r="H110" s="94"/>
      <c r="I110" s="95"/>
    </row>
    <row r="111" spans="2:9" s="57" customFormat="1">
      <c r="B111" s="97"/>
      <c r="C111" s="96"/>
      <c r="D111" s="93"/>
      <c r="E111" s="94"/>
      <c r="F111" s="93"/>
      <c r="G111" s="92"/>
      <c r="H111" s="94"/>
      <c r="I111" s="95"/>
    </row>
    <row r="112" spans="2:9" s="57" customFormat="1">
      <c r="B112" s="97"/>
      <c r="C112" s="96"/>
      <c r="D112" s="93"/>
      <c r="E112" s="94"/>
      <c r="F112" s="93"/>
      <c r="G112" s="92"/>
      <c r="H112" s="94"/>
      <c r="I112" s="95"/>
    </row>
    <row r="113" spans="2:9" s="57" customFormat="1">
      <c r="B113" s="97"/>
      <c r="C113" s="96"/>
      <c r="D113" s="93"/>
      <c r="E113" s="94"/>
      <c r="F113" s="93"/>
      <c r="G113" s="92"/>
      <c r="H113" s="94"/>
      <c r="I113" s="95"/>
    </row>
    <row r="114" spans="2:9" s="57" customFormat="1">
      <c r="B114" s="97"/>
      <c r="C114" s="96"/>
      <c r="D114" s="93"/>
      <c r="E114" s="94"/>
      <c r="F114" s="93"/>
      <c r="G114" s="92"/>
      <c r="H114" s="94"/>
      <c r="I114" s="95"/>
    </row>
    <row r="115" spans="2:9" s="57" customFormat="1">
      <c r="B115" s="97"/>
      <c r="C115" s="96"/>
      <c r="D115" s="93"/>
      <c r="E115" s="94"/>
      <c r="F115" s="93"/>
      <c r="G115" s="92"/>
      <c r="H115" s="94"/>
      <c r="I115" s="95"/>
    </row>
    <row r="116" spans="2:9" s="57" customFormat="1">
      <c r="B116" s="97"/>
      <c r="C116" s="96"/>
      <c r="D116" s="93"/>
      <c r="E116" s="94"/>
      <c r="F116" s="93"/>
      <c r="G116" s="92"/>
      <c r="H116" s="94"/>
      <c r="I116" s="95"/>
    </row>
    <row r="117" spans="2:9" s="57" customFormat="1">
      <c r="B117" s="97"/>
      <c r="C117" s="96"/>
      <c r="D117" s="93"/>
      <c r="E117" s="94"/>
      <c r="F117" s="93"/>
      <c r="G117" s="92"/>
      <c r="H117" s="94"/>
      <c r="I117" s="95"/>
    </row>
    <row r="118" spans="2:9" s="57" customFormat="1">
      <c r="B118" s="97"/>
      <c r="C118" s="96"/>
      <c r="D118" s="93"/>
      <c r="E118" s="94"/>
      <c r="F118" s="93"/>
      <c r="G118" s="92"/>
      <c r="H118" s="94"/>
      <c r="I118" s="95"/>
    </row>
    <row r="119" spans="2:9" s="57" customFormat="1">
      <c r="B119" s="97"/>
      <c r="C119" s="96"/>
      <c r="D119" s="93"/>
      <c r="E119" s="94"/>
      <c r="F119" s="93"/>
      <c r="G119" s="92"/>
      <c r="H119" s="94"/>
      <c r="I119" s="95"/>
    </row>
    <row r="120" spans="2:9" s="57" customFormat="1">
      <c r="B120" s="97"/>
      <c r="C120" s="96"/>
      <c r="D120" s="93"/>
      <c r="E120" s="94"/>
      <c r="F120" s="93"/>
      <c r="G120" s="92"/>
      <c r="H120" s="94"/>
      <c r="I120" s="95"/>
    </row>
    <row r="121" spans="2:9" s="57" customFormat="1">
      <c r="B121" s="97"/>
      <c r="C121" s="96"/>
      <c r="D121" s="93"/>
      <c r="E121" s="94"/>
      <c r="F121" s="93"/>
      <c r="G121" s="92"/>
      <c r="H121" s="94"/>
      <c r="I121" s="95"/>
    </row>
    <row r="122" spans="2:9" s="57" customFormat="1">
      <c r="B122" s="97"/>
      <c r="C122" s="96"/>
      <c r="D122" s="93"/>
      <c r="E122" s="94"/>
      <c r="F122" s="93"/>
      <c r="G122" s="92"/>
      <c r="H122" s="94"/>
      <c r="I122" s="95"/>
    </row>
    <row r="123" spans="2:9" s="57" customFormat="1">
      <c r="B123" s="97"/>
      <c r="C123" s="96"/>
      <c r="D123" s="93"/>
      <c r="E123" s="94"/>
      <c r="F123" s="93"/>
      <c r="G123" s="92"/>
      <c r="H123" s="94"/>
      <c r="I123" s="95"/>
    </row>
    <row r="124" spans="2:9" s="57" customFormat="1">
      <c r="B124" s="97"/>
      <c r="C124" s="96"/>
      <c r="D124" s="93"/>
      <c r="E124" s="94"/>
      <c r="F124" s="93"/>
      <c r="G124" s="92"/>
      <c r="H124" s="94"/>
      <c r="I124" s="95"/>
    </row>
    <row r="125" spans="2:9" s="57" customFormat="1">
      <c r="B125" s="97"/>
      <c r="C125" s="96"/>
      <c r="D125" s="93"/>
      <c r="E125" s="94"/>
      <c r="F125" s="93"/>
      <c r="G125" s="92"/>
      <c r="H125" s="94"/>
      <c r="I125" s="95"/>
    </row>
    <row r="126" spans="2:9" s="57" customFormat="1">
      <c r="B126" s="97"/>
      <c r="C126" s="96"/>
      <c r="D126" s="93"/>
      <c r="E126" s="94"/>
      <c r="F126" s="93"/>
      <c r="G126" s="92"/>
      <c r="H126" s="94"/>
      <c r="I126" s="95"/>
    </row>
    <row r="127" spans="2:9" s="57" customFormat="1">
      <c r="B127" s="97"/>
      <c r="C127" s="96"/>
      <c r="D127" s="93"/>
      <c r="E127" s="94"/>
      <c r="F127" s="93"/>
      <c r="G127" s="92"/>
      <c r="H127" s="94"/>
      <c r="I127" s="95"/>
    </row>
    <row r="128" spans="2:9" s="57" customFormat="1">
      <c r="B128" s="97"/>
      <c r="C128" s="96"/>
      <c r="D128" s="93"/>
      <c r="E128" s="94"/>
      <c r="F128" s="93"/>
      <c r="G128" s="92"/>
      <c r="H128" s="94"/>
      <c r="I128" s="95"/>
    </row>
    <row r="129" spans="2:9" s="57" customFormat="1">
      <c r="B129" s="97"/>
      <c r="C129" s="96"/>
      <c r="D129" s="93"/>
      <c r="E129" s="94"/>
      <c r="F129" s="93"/>
      <c r="G129" s="92"/>
      <c r="H129" s="94"/>
      <c r="I129" s="95"/>
    </row>
    <row r="130" spans="2:9" s="57" customFormat="1">
      <c r="B130" s="97"/>
      <c r="C130" s="96"/>
      <c r="D130" s="93"/>
      <c r="E130" s="94"/>
      <c r="F130" s="93"/>
      <c r="G130" s="92"/>
      <c r="H130" s="94"/>
      <c r="I130" s="95"/>
    </row>
    <row r="131" spans="2:9" s="57" customFormat="1">
      <c r="B131" s="97"/>
      <c r="C131" s="96"/>
      <c r="D131" s="93"/>
      <c r="E131" s="94"/>
      <c r="F131" s="93"/>
      <c r="G131" s="92"/>
      <c r="H131" s="94"/>
      <c r="I131" s="95"/>
    </row>
    <row r="132" spans="2:9" s="57" customFormat="1">
      <c r="B132" s="97"/>
      <c r="C132" s="96"/>
      <c r="D132" s="93"/>
      <c r="E132" s="94"/>
      <c r="F132" s="93"/>
      <c r="G132" s="92"/>
      <c r="H132" s="94"/>
      <c r="I132" s="95"/>
    </row>
    <row r="133" spans="2:9" s="57" customFormat="1">
      <c r="B133" s="97"/>
      <c r="C133" s="96"/>
      <c r="D133" s="93"/>
      <c r="E133" s="94"/>
      <c r="F133" s="93"/>
      <c r="G133" s="92"/>
      <c r="H133" s="94"/>
      <c r="I133" s="95"/>
    </row>
    <row r="134" spans="2:9" s="57" customFormat="1">
      <c r="B134" s="97"/>
      <c r="C134" s="96"/>
      <c r="D134" s="93"/>
      <c r="E134" s="94"/>
      <c r="F134" s="93"/>
      <c r="G134" s="92"/>
      <c r="H134" s="94"/>
      <c r="I134" s="95"/>
    </row>
    <row r="135" spans="2:9" s="57" customFormat="1">
      <c r="B135" s="97"/>
      <c r="C135" s="96"/>
      <c r="D135" s="93"/>
      <c r="E135" s="94"/>
      <c r="F135" s="93"/>
      <c r="G135" s="92"/>
      <c r="H135" s="94"/>
      <c r="I135" s="95"/>
    </row>
    <row r="136" spans="2:9" s="57" customFormat="1">
      <c r="B136" s="97"/>
      <c r="C136" s="96"/>
      <c r="D136" s="93"/>
      <c r="E136" s="94"/>
      <c r="F136" s="93"/>
      <c r="G136" s="92"/>
      <c r="H136" s="94"/>
      <c r="I136" s="95"/>
    </row>
    <row r="137" spans="2:9" s="57" customFormat="1">
      <c r="B137" s="97"/>
      <c r="C137" s="96"/>
      <c r="D137" s="93"/>
      <c r="E137" s="94"/>
      <c r="F137" s="93"/>
      <c r="G137" s="92"/>
      <c r="H137" s="94"/>
      <c r="I137" s="95"/>
    </row>
    <row r="138" spans="2:9" s="57" customFormat="1">
      <c r="B138" s="97"/>
      <c r="C138" s="96"/>
      <c r="D138" s="93"/>
      <c r="E138" s="94"/>
      <c r="F138" s="93"/>
      <c r="G138" s="92"/>
      <c r="H138" s="94"/>
      <c r="I138" s="95"/>
    </row>
    <row r="139" spans="2:9" s="57" customFormat="1">
      <c r="B139" s="97"/>
      <c r="C139" s="96"/>
      <c r="D139" s="93"/>
      <c r="E139" s="94"/>
      <c r="F139" s="93"/>
      <c r="G139" s="92"/>
      <c r="H139" s="94"/>
      <c r="I139" s="95"/>
    </row>
    <row r="140" spans="2:9" s="57" customFormat="1">
      <c r="B140" s="97"/>
      <c r="C140" s="96"/>
      <c r="D140" s="93"/>
      <c r="E140" s="94"/>
      <c r="F140" s="93"/>
      <c r="G140" s="92"/>
      <c r="H140" s="94"/>
      <c r="I140" s="95"/>
    </row>
    <row r="141" spans="2:9" s="57" customFormat="1">
      <c r="B141" s="97"/>
      <c r="C141" s="96"/>
      <c r="D141" s="93"/>
      <c r="E141" s="94"/>
      <c r="F141" s="93"/>
      <c r="G141" s="92"/>
      <c r="H141" s="94"/>
      <c r="I141" s="95"/>
    </row>
    <row r="142" spans="2:9" s="57" customFormat="1">
      <c r="B142" s="97"/>
      <c r="C142" s="96"/>
      <c r="D142" s="93"/>
      <c r="E142" s="94"/>
      <c r="F142" s="93"/>
      <c r="G142" s="92"/>
      <c r="H142" s="94"/>
      <c r="I142" s="95"/>
    </row>
    <row r="143" spans="2:9" s="57" customFormat="1">
      <c r="B143" s="97"/>
      <c r="C143" s="96"/>
      <c r="D143" s="93"/>
      <c r="E143" s="94"/>
      <c r="F143" s="93"/>
      <c r="G143" s="94"/>
      <c r="H143" s="94"/>
      <c r="I143" s="95"/>
    </row>
    <row r="144" spans="2:9" s="57" customFormat="1">
      <c r="B144" s="97"/>
      <c r="C144" s="96"/>
      <c r="D144" s="93"/>
      <c r="E144" s="94"/>
      <c r="F144" s="93"/>
      <c r="G144" s="92"/>
      <c r="H144" s="94"/>
      <c r="I144" s="95"/>
    </row>
    <row r="145" spans="2:9" s="57" customFormat="1">
      <c r="B145" s="97"/>
      <c r="C145" s="96"/>
      <c r="D145" s="93"/>
      <c r="E145" s="94"/>
      <c r="F145" s="93"/>
      <c r="G145" s="92"/>
      <c r="H145" s="94"/>
      <c r="I145" s="95"/>
    </row>
    <row r="146" spans="2:9" s="57" customFormat="1">
      <c r="B146" s="97"/>
      <c r="C146" s="96"/>
      <c r="D146" s="93"/>
      <c r="E146" s="94"/>
      <c r="F146" s="93"/>
      <c r="G146" s="92"/>
      <c r="H146" s="94"/>
      <c r="I146" s="95"/>
    </row>
    <row r="147" spans="2:9" s="57" customFormat="1">
      <c r="B147" s="97"/>
      <c r="C147" s="96"/>
      <c r="D147" s="93"/>
      <c r="E147" s="94"/>
      <c r="F147" s="93"/>
      <c r="G147" s="92"/>
      <c r="H147" s="94"/>
      <c r="I147" s="95"/>
    </row>
    <row r="148" spans="2:9" s="57" customFormat="1">
      <c r="B148" s="97"/>
      <c r="C148" s="96"/>
      <c r="D148" s="93"/>
      <c r="E148" s="94"/>
      <c r="F148" s="93"/>
      <c r="G148" s="92"/>
      <c r="H148" s="94"/>
      <c r="I148" s="95"/>
    </row>
    <row r="149" spans="2:9" s="57" customFormat="1">
      <c r="B149" s="96"/>
      <c r="C149" s="96"/>
      <c r="D149" s="93"/>
      <c r="E149" s="94"/>
      <c r="F149" s="93"/>
      <c r="G149" s="92"/>
      <c r="H149" s="94"/>
      <c r="I149" s="95"/>
    </row>
    <row r="150" spans="2:9" s="57" customFormat="1">
      <c r="B150" s="96"/>
      <c r="C150" s="96"/>
      <c r="D150" s="93"/>
      <c r="E150" s="94"/>
      <c r="F150" s="93"/>
      <c r="G150" s="92"/>
      <c r="H150" s="94"/>
      <c r="I150" s="95"/>
    </row>
    <row r="151" spans="2:9" s="57" customFormat="1">
      <c r="B151" s="96"/>
      <c r="C151" s="96"/>
      <c r="D151" s="93"/>
      <c r="E151" s="94"/>
      <c r="F151" s="93"/>
      <c r="G151" s="92"/>
      <c r="H151" s="94"/>
      <c r="I151" s="95"/>
    </row>
    <row r="152" spans="2:9" s="57" customFormat="1">
      <c r="B152" s="96"/>
      <c r="C152" s="96"/>
      <c r="D152" s="93"/>
      <c r="E152" s="94"/>
      <c r="F152" s="93"/>
      <c r="G152" s="92"/>
      <c r="H152" s="94"/>
      <c r="I152" s="95"/>
    </row>
    <row r="153" spans="2:9" s="57" customFormat="1">
      <c r="B153" s="96"/>
      <c r="C153" s="96"/>
      <c r="D153" s="93"/>
      <c r="E153" s="94"/>
      <c r="F153" s="93"/>
      <c r="G153" s="92"/>
      <c r="H153" s="94"/>
      <c r="I153" s="95"/>
    </row>
    <row r="154" spans="2:9" s="57" customFormat="1">
      <c r="B154" s="96"/>
      <c r="C154" s="96"/>
      <c r="D154" s="93"/>
      <c r="E154" s="94"/>
      <c r="F154" s="93"/>
      <c r="G154" s="92"/>
      <c r="H154" s="94"/>
      <c r="I154" s="95"/>
    </row>
    <row r="155" spans="2:9" s="57" customFormat="1">
      <c r="B155" s="96"/>
      <c r="C155" s="96"/>
      <c r="D155" s="93"/>
      <c r="E155" s="94"/>
      <c r="F155" s="93"/>
      <c r="G155" s="92"/>
      <c r="H155" s="94"/>
      <c r="I155" s="95"/>
    </row>
    <row r="156" spans="2:9" s="57" customFormat="1">
      <c r="B156" s="96"/>
      <c r="C156" s="96"/>
      <c r="D156" s="93"/>
      <c r="E156" s="94"/>
      <c r="F156" s="93"/>
      <c r="G156" s="92"/>
      <c r="H156" s="94"/>
      <c r="I156" s="95"/>
    </row>
    <row r="157" spans="2:9" s="57" customFormat="1">
      <c r="B157" s="96"/>
      <c r="C157" s="96"/>
      <c r="D157" s="93"/>
      <c r="E157" s="94"/>
      <c r="F157" s="93"/>
      <c r="G157" s="92"/>
      <c r="H157" s="94"/>
      <c r="I157" s="95"/>
    </row>
    <row r="158" spans="2:9" s="57" customFormat="1">
      <c r="B158" s="96"/>
      <c r="C158" s="96"/>
      <c r="D158" s="93"/>
      <c r="E158" s="94"/>
      <c r="F158" s="93"/>
      <c r="G158" s="92"/>
      <c r="H158" s="94"/>
      <c r="I158" s="95"/>
    </row>
    <row r="159" spans="2:9" s="57" customFormat="1">
      <c r="B159" s="96"/>
      <c r="C159" s="96"/>
      <c r="D159" s="93"/>
      <c r="E159" s="94"/>
      <c r="F159" s="93"/>
      <c r="G159" s="92"/>
      <c r="H159" s="94"/>
      <c r="I159" s="95"/>
    </row>
    <row r="160" spans="2:9">
      <c r="B160" s="30"/>
      <c r="C160" s="30"/>
      <c r="D160" s="25"/>
      <c r="E160" s="26"/>
      <c r="F160" s="25"/>
      <c r="G160" s="18"/>
      <c r="H160" s="26"/>
      <c r="I160" s="29"/>
    </row>
    <row r="161" spans="2:9">
      <c r="B161" s="30"/>
      <c r="C161" s="30"/>
      <c r="D161" s="25"/>
      <c r="E161" s="26"/>
      <c r="F161" s="25"/>
      <c r="G161" s="18"/>
      <c r="H161" s="26"/>
      <c r="I161" s="29"/>
    </row>
    <row r="162" spans="2:9">
      <c r="B162" s="30"/>
      <c r="C162" s="30"/>
      <c r="D162" s="25"/>
      <c r="E162" s="26"/>
      <c r="F162" s="25"/>
      <c r="G162" s="18"/>
      <c r="H162" s="26"/>
      <c r="I162" s="29"/>
    </row>
    <row r="163" spans="2:9">
      <c r="B163" s="30"/>
      <c r="C163" s="30"/>
      <c r="D163" s="25"/>
      <c r="E163" s="26"/>
      <c r="F163" s="25"/>
      <c r="G163" s="18"/>
      <c r="H163" s="26"/>
      <c r="I163" s="29"/>
    </row>
    <row r="164" spans="2:9">
      <c r="B164" s="30"/>
      <c r="C164" s="30"/>
      <c r="D164" s="25"/>
      <c r="E164" s="26"/>
      <c r="F164" s="25"/>
      <c r="G164" s="18"/>
      <c r="H164" s="26"/>
      <c r="I164" s="29"/>
    </row>
    <row r="165" spans="2:9">
      <c r="B165" s="30"/>
      <c r="C165" s="30"/>
      <c r="D165" s="25"/>
      <c r="E165" s="26"/>
      <c r="F165" s="25"/>
      <c r="G165" s="18"/>
      <c r="H165" s="26"/>
      <c r="I165" s="29"/>
    </row>
    <row r="166" spans="2:9">
      <c r="B166" s="30"/>
      <c r="C166" s="30"/>
      <c r="D166" s="25"/>
      <c r="E166" s="26"/>
      <c r="F166" s="25"/>
      <c r="G166" s="18"/>
      <c r="H166" s="26"/>
      <c r="I166" s="29"/>
    </row>
    <row r="167" spans="2:9" ht="14.25" thickBot="1">
      <c r="B167" s="31"/>
      <c r="C167" s="34"/>
      <c r="D167" s="21"/>
      <c r="E167" s="22"/>
      <c r="F167" s="21"/>
      <c r="G167" s="20"/>
      <c r="H167" s="22"/>
      <c r="I167" s="32"/>
    </row>
  </sheetData>
  <mergeCells count="4">
    <mergeCell ref="D5:E5"/>
    <mergeCell ref="F5:H5"/>
    <mergeCell ref="B5:B6"/>
    <mergeCell ref="I5:I6"/>
  </mergeCells>
  <phoneticPr fontId="10" type="noConversion"/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2"/>
  <dimension ref="B2:R51"/>
  <sheetViews>
    <sheetView zoomScale="85" zoomScaleNormal="85" workbookViewId="0">
      <selection activeCell="B144" sqref="B144"/>
    </sheetView>
  </sheetViews>
  <sheetFormatPr defaultRowHeight="13.5"/>
  <cols>
    <col min="1" max="1" width="1.5" style="57" customWidth="1"/>
    <col min="2" max="2" width="12.125" style="57" customWidth="1"/>
    <col min="3" max="3" width="22.875" style="57" customWidth="1"/>
    <col min="4" max="4" width="1.625" style="57" customWidth="1"/>
    <col min="5" max="5" width="13.5" style="57" customWidth="1"/>
    <col min="6" max="13" width="6.375" style="57" customWidth="1"/>
    <col min="14" max="14" width="9" style="57"/>
    <col min="15" max="15" width="1.875" style="57" customWidth="1"/>
    <col min="16" max="16" width="12.5" style="57" customWidth="1"/>
    <col min="17" max="17" width="14.625" style="57" customWidth="1"/>
    <col min="18" max="18" width="122.5" style="57" bestFit="1" customWidth="1"/>
    <col min="19" max="16384" width="9" style="57"/>
  </cols>
  <sheetData>
    <row r="2" spans="2:18" ht="19.5" customHeight="1">
      <c r="B2" s="100" t="s">
        <v>269</v>
      </c>
      <c r="C2" s="101" t="s">
        <v>270</v>
      </c>
      <c r="E2" s="264" t="s">
        <v>269</v>
      </c>
      <c r="F2" s="265" t="s">
        <v>270</v>
      </c>
      <c r="G2" s="265"/>
      <c r="H2" s="265"/>
      <c r="I2" s="265"/>
      <c r="J2" s="265"/>
      <c r="K2" s="265"/>
      <c r="L2" s="265"/>
      <c r="M2" s="265"/>
      <c r="P2" s="112" t="s">
        <v>334</v>
      </c>
      <c r="Q2" s="112" t="s">
        <v>269</v>
      </c>
      <c r="R2" s="113" t="s">
        <v>335</v>
      </c>
    </row>
    <row r="3" spans="2:18" ht="19.5" customHeight="1">
      <c r="B3" s="92" t="s">
        <v>271</v>
      </c>
      <c r="C3" s="102" t="s">
        <v>272</v>
      </c>
      <c r="E3" s="264"/>
      <c r="F3" s="100" t="s">
        <v>267</v>
      </c>
      <c r="G3" s="100" t="s">
        <v>273</v>
      </c>
      <c r="H3" s="100" t="s">
        <v>274</v>
      </c>
      <c r="I3" s="100" t="s">
        <v>275</v>
      </c>
      <c r="J3" s="100" t="s">
        <v>276</v>
      </c>
      <c r="K3" s="100" t="s">
        <v>277</v>
      </c>
      <c r="L3" s="100" t="s">
        <v>278</v>
      </c>
      <c r="M3" s="100" t="s">
        <v>279</v>
      </c>
      <c r="P3" s="266" t="s">
        <v>336</v>
      </c>
      <c r="Q3" s="106" t="s">
        <v>337</v>
      </c>
      <c r="R3" s="102" t="s">
        <v>338</v>
      </c>
    </row>
    <row r="4" spans="2:18" ht="19.5" customHeight="1">
      <c r="B4" s="92" t="s">
        <v>273</v>
      </c>
      <c r="C4" s="102" t="s">
        <v>280</v>
      </c>
      <c r="E4" s="102" t="s">
        <v>281</v>
      </c>
      <c r="F4" s="103" t="s">
        <v>282</v>
      </c>
      <c r="G4" s="102"/>
      <c r="H4" s="102"/>
      <c r="I4" s="102"/>
      <c r="J4" s="103" t="s">
        <v>282</v>
      </c>
      <c r="K4" s="102"/>
      <c r="L4" s="103" t="s">
        <v>282</v>
      </c>
      <c r="M4" s="103" t="s">
        <v>282</v>
      </c>
      <c r="P4" s="267"/>
      <c r="Q4" s="106" t="s">
        <v>339</v>
      </c>
      <c r="R4" s="102" t="s">
        <v>340</v>
      </c>
    </row>
    <row r="5" spans="2:18" ht="19.5" customHeight="1">
      <c r="B5" s="92" t="s">
        <v>274</v>
      </c>
      <c r="C5" s="102" t="s">
        <v>283</v>
      </c>
      <c r="E5" s="102" t="s">
        <v>283</v>
      </c>
      <c r="F5" s="102"/>
      <c r="G5" s="102"/>
      <c r="H5" s="103" t="s">
        <v>282</v>
      </c>
      <c r="I5" s="102"/>
      <c r="J5" s="103" t="s">
        <v>282</v>
      </c>
      <c r="K5" s="102"/>
      <c r="L5" s="103" t="s">
        <v>282</v>
      </c>
      <c r="M5" s="103" t="s">
        <v>282</v>
      </c>
      <c r="P5" s="267"/>
      <c r="Q5" s="106" t="s">
        <v>341</v>
      </c>
      <c r="R5" s="102" t="s">
        <v>342</v>
      </c>
    </row>
    <row r="6" spans="2:18" ht="19.5" customHeight="1">
      <c r="B6" s="92" t="s">
        <v>275</v>
      </c>
      <c r="C6" s="102" t="s">
        <v>284</v>
      </c>
      <c r="E6" s="107"/>
      <c r="F6" s="107"/>
      <c r="G6" s="107"/>
      <c r="H6" s="107"/>
      <c r="I6" s="107"/>
      <c r="J6" s="107"/>
      <c r="K6" s="107"/>
      <c r="L6" s="107"/>
      <c r="M6" s="107"/>
      <c r="P6" s="267"/>
      <c r="Q6" s="106" t="s">
        <v>343</v>
      </c>
      <c r="R6" s="102" t="s">
        <v>344</v>
      </c>
    </row>
    <row r="7" spans="2:18" ht="19.5" customHeight="1">
      <c r="E7" s="102" t="s">
        <v>285</v>
      </c>
      <c r="F7" s="102"/>
      <c r="G7" s="103" t="s">
        <v>286</v>
      </c>
      <c r="H7" s="102"/>
      <c r="I7" s="103" t="s">
        <v>286</v>
      </c>
      <c r="J7" s="102"/>
      <c r="K7" s="102"/>
      <c r="L7" s="103" t="s">
        <v>286</v>
      </c>
      <c r="M7" s="103" t="s">
        <v>286</v>
      </c>
      <c r="P7" s="267"/>
      <c r="Q7" s="106" t="s">
        <v>345</v>
      </c>
      <c r="R7" s="102" t="s">
        <v>346</v>
      </c>
    </row>
    <row r="8" spans="2:18" ht="19.5" customHeight="1">
      <c r="E8" s="102" t="s">
        <v>287</v>
      </c>
      <c r="F8" s="102"/>
      <c r="G8" s="103" t="s">
        <v>286</v>
      </c>
      <c r="H8" s="102"/>
      <c r="I8" s="102"/>
      <c r="J8" s="102"/>
      <c r="K8" s="102"/>
      <c r="L8" s="103" t="s">
        <v>286</v>
      </c>
      <c r="M8" s="103" t="s">
        <v>286</v>
      </c>
      <c r="P8" s="267"/>
      <c r="Q8" s="104" t="s">
        <v>347</v>
      </c>
      <c r="R8" s="105" t="s">
        <v>348</v>
      </c>
    </row>
    <row r="9" spans="2:18" ht="19.5" customHeight="1">
      <c r="E9" s="107"/>
      <c r="F9" s="107"/>
      <c r="G9" s="107"/>
      <c r="H9" s="107"/>
      <c r="I9" s="107"/>
      <c r="J9" s="107"/>
      <c r="K9" s="107"/>
      <c r="L9" s="107"/>
      <c r="M9" s="107"/>
      <c r="P9" s="267"/>
      <c r="Q9" s="106" t="s">
        <v>297</v>
      </c>
      <c r="R9" s="102" t="s">
        <v>349</v>
      </c>
    </row>
    <row r="10" spans="2:18" ht="19.5" customHeight="1">
      <c r="E10" s="102" t="s">
        <v>288</v>
      </c>
      <c r="F10" s="102"/>
      <c r="G10" s="102"/>
      <c r="H10" s="102"/>
      <c r="I10" s="103" t="s">
        <v>286</v>
      </c>
      <c r="J10" s="102"/>
      <c r="K10" s="102"/>
      <c r="L10" s="103" t="s">
        <v>286</v>
      </c>
      <c r="M10" s="103" t="s">
        <v>286</v>
      </c>
      <c r="P10" s="267"/>
      <c r="Q10" s="104" t="s">
        <v>297</v>
      </c>
      <c r="R10" s="105" t="s">
        <v>350</v>
      </c>
    </row>
    <row r="11" spans="2:18" ht="19.5" customHeight="1">
      <c r="E11" s="102" t="s">
        <v>289</v>
      </c>
      <c r="F11" s="102"/>
      <c r="G11" s="102"/>
      <c r="H11" s="102"/>
      <c r="I11" s="102"/>
      <c r="J11" s="102"/>
      <c r="K11" s="102"/>
      <c r="L11" s="103" t="s">
        <v>286</v>
      </c>
      <c r="M11" s="103" t="s">
        <v>286</v>
      </c>
      <c r="P11" s="267"/>
      <c r="Q11" s="108" t="s">
        <v>351</v>
      </c>
      <c r="R11" s="109" t="s">
        <v>352</v>
      </c>
    </row>
    <row r="12" spans="2:18" ht="19.5" customHeight="1">
      <c r="E12" s="102" t="s">
        <v>290</v>
      </c>
      <c r="F12" s="102"/>
      <c r="G12" s="102"/>
      <c r="H12" s="102"/>
      <c r="I12" s="102"/>
      <c r="J12" s="102"/>
      <c r="K12" s="102"/>
      <c r="L12" s="103" t="s">
        <v>286</v>
      </c>
      <c r="M12" s="103" t="s">
        <v>286</v>
      </c>
      <c r="P12" s="267"/>
      <c r="Q12" s="108" t="s">
        <v>353</v>
      </c>
      <c r="R12" s="109" t="s">
        <v>354</v>
      </c>
    </row>
    <row r="13" spans="2:18" ht="19.5" customHeight="1">
      <c r="E13" s="102" t="s">
        <v>291</v>
      </c>
      <c r="F13" s="102"/>
      <c r="G13" s="102"/>
      <c r="H13" s="102"/>
      <c r="I13" s="102"/>
      <c r="J13" s="102"/>
      <c r="K13" s="102"/>
      <c r="L13" s="103" t="s">
        <v>286</v>
      </c>
      <c r="M13" s="103" t="s">
        <v>286</v>
      </c>
      <c r="P13" s="267"/>
      <c r="Q13" s="108" t="s">
        <v>310</v>
      </c>
      <c r="R13" s="109" t="s">
        <v>355</v>
      </c>
    </row>
    <row r="14" spans="2:18" ht="19.5" customHeight="1">
      <c r="E14" s="107"/>
      <c r="F14" s="107"/>
      <c r="G14" s="107"/>
      <c r="H14" s="107"/>
      <c r="I14" s="107"/>
      <c r="J14" s="107"/>
      <c r="K14" s="107"/>
      <c r="L14" s="107"/>
      <c r="M14" s="107"/>
      <c r="P14" s="267"/>
    </row>
    <row r="15" spans="2:18" ht="19.5" customHeight="1">
      <c r="E15" s="102" t="s">
        <v>292</v>
      </c>
      <c r="F15" s="102"/>
      <c r="G15" s="103" t="s">
        <v>293</v>
      </c>
      <c r="H15" s="102"/>
      <c r="I15" s="102"/>
      <c r="J15" s="102"/>
      <c r="K15" s="102"/>
      <c r="L15" s="103" t="s">
        <v>293</v>
      </c>
      <c r="M15" s="103" t="s">
        <v>293</v>
      </c>
      <c r="P15" s="267"/>
      <c r="Q15" s="106" t="s">
        <v>356</v>
      </c>
      <c r="R15" s="102" t="s">
        <v>357</v>
      </c>
    </row>
    <row r="16" spans="2:18" ht="19.5" customHeight="1">
      <c r="E16" s="102" t="s">
        <v>294</v>
      </c>
      <c r="F16" s="102"/>
      <c r="G16" s="102"/>
      <c r="H16" s="102"/>
      <c r="I16" s="102"/>
      <c r="J16" s="102"/>
      <c r="K16" s="102"/>
      <c r="L16" s="103" t="s">
        <v>293</v>
      </c>
      <c r="M16" s="103" t="s">
        <v>293</v>
      </c>
      <c r="P16" s="267"/>
      <c r="Q16" s="106" t="s">
        <v>358</v>
      </c>
      <c r="R16" s="102" t="s">
        <v>359</v>
      </c>
    </row>
    <row r="17" spans="16:18" ht="19.5" customHeight="1">
      <c r="P17" s="267"/>
      <c r="Q17" s="106" t="s">
        <v>298</v>
      </c>
      <c r="R17" s="102" t="s">
        <v>360</v>
      </c>
    </row>
    <row r="18" spans="16:18" ht="19.5" customHeight="1">
      <c r="P18" s="267"/>
      <c r="Q18" s="106" t="s">
        <v>361</v>
      </c>
      <c r="R18" s="102" t="s">
        <v>362</v>
      </c>
    </row>
    <row r="19" spans="16:18" ht="19.5" customHeight="1">
      <c r="P19" s="267"/>
      <c r="Q19" s="104" t="s">
        <v>347</v>
      </c>
      <c r="R19" s="105" t="s">
        <v>363</v>
      </c>
    </row>
    <row r="20" spans="16:18" ht="19.5" customHeight="1">
      <c r="P20" s="267"/>
      <c r="Q20" s="106" t="s">
        <v>364</v>
      </c>
      <c r="R20" s="102" t="s">
        <v>365</v>
      </c>
    </row>
    <row r="21" spans="16:18" ht="19.5" customHeight="1">
      <c r="P21" s="267"/>
      <c r="Q21" s="104" t="s">
        <v>364</v>
      </c>
      <c r="R21" s="105" t="s">
        <v>366</v>
      </c>
    </row>
    <row r="22" spans="16:18" ht="19.5" customHeight="1">
      <c r="P22" s="267"/>
      <c r="Q22" s="108" t="s">
        <v>367</v>
      </c>
      <c r="R22" s="109" t="s">
        <v>368</v>
      </c>
    </row>
    <row r="23" spans="16:18" ht="19.5" customHeight="1">
      <c r="P23" s="267"/>
      <c r="Q23" s="108" t="s">
        <v>369</v>
      </c>
      <c r="R23" s="109" t="s">
        <v>370</v>
      </c>
    </row>
    <row r="24" spans="16:18" ht="19.5" customHeight="1">
      <c r="P24" s="267"/>
      <c r="Q24" s="108" t="s">
        <v>371</v>
      </c>
      <c r="R24" s="109" t="s">
        <v>372</v>
      </c>
    </row>
    <row r="25" spans="16:18" ht="19.5" customHeight="1">
      <c r="P25" s="267"/>
    </row>
    <row r="26" spans="16:18" ht="19.5" customHeight="1">
      <c r="P26" s="267"/>
      <c r="Q26" s="106" t="s">
        <v>373</v>
      </c>
      <c r="R26" s="102" t="s">
        <v>374</v>
      </c>
    </row>
    <row r="27" spans="16:18" ht="19.5" customHeight="1">
      <c r="P27" s="267"/>
      <c r="Q27" s="108" t="s">
        <v>299</v>
      </c>
      <c r="R27" s="109" t="s">
        <v>300</v>
      </c>
    </row>
    <row r="28" spans="16:18" ht="19.5" customHeight="1">
      <c r="P28" s="267"/>
      <c r="Q28" s="104" t="s">
        <v>296</v>
      </c>
      <c r="R28" s="105" t="s">
        <v>301</v>
      </c>
    </row>
    <row r="29" spans="16:18" ht="19.5" customHeight="1">
      <c r="P29" s="267"/>
      <c r="Q29" s="107"/>
      <c r="R29" s="106"/>
    </row>
    <row r="30" spans="16:18" ht="19.5" customHeight="1">
      <c r="P30" s="267"/>
      <c r="Q30" s="106" t="s">
        <v>375</v>
      </c>
      <c r="R30" s="102" t="s">
        <v>302</v>
      </c>
    </row>
    <row r="31" spans="16:18" ht="19.5" customHeight="1">
      <c r="P31" s="267"/>
      <c r="Q31" s="108" t="s">
        <v>376</v>
      </c>
      <c r="R31" s="109" t="s">
        <v>377</v>
      </c>
    </row>
    <row r="32" spans="16:18" ht="19.5" customHeight="1">
      <c r="P32" s="267"/>
      <c r="Q32" s="106" t="s">
        <v>303</v>
      </c>
      <c r="R32" s="102" t="s">
        <v>378</v>
      </c>
    </row>
    <row r="33" spans="16:18" ht="19.5" customHeight="1">
      <c r="P33" s="267"/>
      <c r="Q33" s="110" t="s">
        <v>379</v>
      </c>
      <c r="R33" s="109" t="s">
        <v>380</v>
      </c>
    </row>
    <row r="34" spans="16:18" ht="19.5" customHeight="1">
      <c r="P34" s="267"/>
      <c r="Q34" s="107"/>
      <c r="R34" s="106"/>
    </row>
    <row r="35" spans="16:18" ht="19.5" customHeight="1">
      <c r="P35" s="267"/>
      <c r="Q35" s="106" t="s">
        <v>381</v>
      </c>
      <c r="R35" s="102" t="s">
        <v>304</v>
      </c>
    </row>
    <row r="36" spans="16:18" ht="19.5" customHeight="1">
      <c r="P36" s="267"/>
      <c r="Q36" s="108" t="s">
        <v>382</v>
      </c>
      <c r="R36" s="109" t="s">
        <v>383</v>
      </c>
    </row>
    <row r="37" spans="16:18" ht="19.5" customHeight="1">
      <c r="P37" s="267"/>
      <c r="Q37" s="106" t="s">
        <v>305</v>
      </c>
      <c r="R37" s="102" t="s">
        <v>384</v>
      </c>
    </row>
    <row r="38" spans="16:18" ht="19.5" customHeight="1">
      <c r="P38" s="267"/>
      <c r="Q38" s="110" t="s">
        <v>385</v>
      </c>
      <c r="R38" s="109" t="s">
        <v>386</v>
      </c>
    </row>
    <row r="39" spans="16:18" ht="19.5" customHeight="1">
      <c r="P39" s="267"/>
      <c r="Q39" s="107"/>
      <c r="R39" s="106"/>
    </row>
    <row r="40" spans="16:18" ht="19.5" customHeight="1">
      <c r="P40" s="267"/>
      <c r="Q40" s="106" t="s">
        <v>387</v>
      </c>
      <c r="R40" s="102" t="s">
        <v>306</v>
      </c>
    </row>
    <row r="41" spans="16:18" ht="19.5" customHeight="1">
      <c r="P41" s="268"/>
      <c r="Q41" s="108" t="s">
        <v>307</v>
      </c>
      <c r="R41" s="109" t="s">
        <v>308</v>
      </c>
    </row>
    <row r="42" spans="16:18" ht="19.5" customHeight="1"/>
    <row r="43" spans="16:18" ht="19.5" customHeight="1">
      <c r="P43" s="263" t="s">
        <v>388</v>
      </c>
      <c r="Q43" s="102" t="s">
        <v>389</v>
      </c>
      <c r="R43" s="102" t="s">
        <v>390</v>
      </c>
    </row>
    <row r="44" spans="16:18" ht="19.5" customHeight="1">
      <c r="P44" s="263"/>
      <c r="Q44" s="114" t="s">
        <v>389</v>
      </c>
      <c r="R44" s="105" t="s">
        <v>391</v>
      </c>
    </row>
    <row r="45" spans="16:18" ht="19.5" customHeight="1">
      <c r="P45" s="263"/>
      <c r="Q45" s="102" t="s">
        <v>392</v>
      </c>
      <c r="R45" s="111" t="s">
        <v>393</v>
      </c>
    </row>
    <row r="46" spans="16:18" ht="19.5" customHeight="1">
      <c r="P46" s="263"/>
      <c r="Q46" s="114" t="s">
        <v>392</v>
      </c>
      <c r="R46" s="105" t="s">
        <v>309</v>
      </c>
    </row>
    <row r="47" spans="16:18" ht="19.5" customHeight="1"/>
    <row r="48" spans="16:18" ht="19.5" customHeight="1">
      <c r="P48" s="263" t="s">
        <v>394</v>
      </c>
      <c r="Q48" s="102" t="s">
        <v>310</v>
      </c>
      <c r="R48" s="102" t="s">
        <v>395</v>
      </c>
    </row>
    <row r="49" spans="16:18" ht="19.5" customHeight="1">
      <c r="P49" s="263"/>
      <c r="Q49" s="102" t="s">
        <v>371</v>
      </c>
      <c r="R49" s="102" t="s">
        <v>311</v>
      </c>
    </row>
    <row r="50" spans="16:18" ht="19.5" customHeight="1">
      <c r="P50" s="263"/>
      <c r="Q50" s="102" t="s">
        <v>343</v>
      </c>
      <c r="R50" s="102" t="s">
        <v>396</v>
      </c>
    </row>
    <row r="51" spans="16:18" ht="19.5" customHeight="1">
      <c r="P51" s="263"/>
      <c r="Q51" s="102" t="s">
        <v>361</v>
      </c>
      <c r="R51" s="102" t="s">
        <v>397</v>
      </c>
    </row>
  </sheetData>
  <mergeCells count="5">
    <mergeCell ref="P48:P51"/>
    <mergeCell ref="E2:E3"/>
    <mergeCell ref="F2:M2"/>
    <mergeCell ref="P3:P41"/>
    <mergeCell ref="P43:P46"/>
  </mergeCells>
  <phoneticPr fontId="10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29</vt:i4>
      </vt:variant>
      <vt:variant>
        <vt:lpstr>이름 지정된 범위</vt:lpstr>
      </vt:variant>
      <vt:variant>
        <vt:i4>1</vt:i4>
      </vt:variant>
    </vt:vector>
  </HeadingPairs>
  <TitlesOfParts>
    <vt:vector size="30" baseType="lpstr">
      <vt:lpstr>테이블_규칙</vt:lpstr>
      <vt:lpstr>ConquerorLevel</vt:lpstr>
      <vt:lpstr>CharacterLevel</vt:lpstr>
      <vt:lpstr>Enchant</vt:lpstr>
      <vt:lpstr>CardEnchantRate</vt:lpstr>
      <vt:lpstr>CardOption</vt:lpstr>
      <vt:lpstr>Quest</vt:lpstr>
      <vt:lpstr>Map</vt:lpstr>
      <vt:lpstr>Gathering</vt:lpstr>
      <vt:lpstr>Dialog</vt:lpstr>
      <vt:lpstr>Dialog_Effect</vt:lpstr>
      <vt:lpstr>NPC</vt:lpstr>
      <vt:lpstr>Item</vt:lpstr>
      <vt:lpstr>DropBag</vt:lpstr>
      <vt:lpstr>Multilingual</vt:lpstr>
      <vt:lpstr>Tag</vt:lpstr>
      <vt:lpstr>PR</vt:lpstr>
      <vt:lpstr>NPCGroupBag</vt:lpstr>
      <vt:lpstr>Setitem</vt:lpstr>
      <vt:lpstr>Skill</vt:lpstr>
      <vt:lpstr>ServerMessage</vt:lpstr>
      <vt:lpstr>Achievement</vt:lpstr>
      <vt:lpstr>LocalAchievement</vt:lpstr>
      <vt:lpstr>AchievementResult</vt:lpstr>
      <vt:lpstr>Shop</vt:lpstr>
      <vt:lpstr>Grade</vt:lpstr>
      <vt:lpstr>테이블관리</vt:lpstr>
      <vt:lpstr>테이블버전관리</vt:lpstr>
      <vt:lpstr>공식</vt:lpstr>
      <vt:lpstr>ItemType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Registered User</dc:creator>
  <cp:lastModifiedBy>level9_113</cp:lastModifiedBy>
  <cp:lastPrinted>2018-02-02T00:24:20Z</cp:lastPrinted>
  <dcterms:created xsi:type="dcterms:W3CDTF">2014-01-09T06:42:40Z</dcterms:created>
  <dcterms:modified xsi:type="dcterms:W3CDTF">2019-06-12T05:00:36Z</dcterms:modified>
</cp:coreProperties>
</file>