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rcasio\Documents\MarkTwo\MarkTwo\bin\Debug\"/>
    </mc:Choice>
  </mc:AlternateContent>
  <bookViews>
    <workbookView xWindow="1965" yWindow="1950" windowWidth="27060" windowHeight="18045" tabRatio="968" activeTab="1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8"/>
  <definedNames>
    <definedName name="ItemType">Tag!$C$8:$C$9</definedName>
  </definedNames>
  <calcPr calcId="152511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C45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I24" i="65" l="1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B57" i="79" s="1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C8" i="88" l="1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B59" i="79" s="1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A84" i="82" l="1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<sst xmlns="http://schemas.openxmlformats.org/spreadsheetml/2006/main" count="2308" uniqueCount="1470">
  <si>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</si>
  <si>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</si>
  <si>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</si>
  <si>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</si>
  <si>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</si>
  <si>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</si>
  <si>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</si>
  <si>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</si>
  <si>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</si>
  <si>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</si>
  <si>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</si>
  <si>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</si>
  <si>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</si>
  <si>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</si>
  <si>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</si>
  <si>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</si>
  <si>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</si>
  <si>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</si>
  <si>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</si>
  <si>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</si>
  <si>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</si>
  <si>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</si>
  <si>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</si>
  <si>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</si>
  <si>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</si>
  <si>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</si>
  <si>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</si>
  <si>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</si>
  <si>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</si>
  <si>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</si>
  <si>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</si>
  <si>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</si>
  <si>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</si>
  <si>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</si>
  <si>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</si>
  <si>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</si>
  <si>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</si>
  <si>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</si>
  <si>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</si>
  <si>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</si>
  <si>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</si>
  <si>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</si>
  <si>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</si>
  <si>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</si>
  <si>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</si>
  <si>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</si>
  <si>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</si>
  <si>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</si>
  <si>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</si>
  <si>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</si>
  <si>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</si>
  <si>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</si>
  <si>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</si>
  <si>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</si>
  <si>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</si>
  <si>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</si>
  <si>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</si>
  <si>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</si>
  <si>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</si>
  <si>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</si>
  <si>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</si>
  <si>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</si>
  <si>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</si>
  <si>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</si>
  <si>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</si>
  <si>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</si>
  <si>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</si>
  <si>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</si>
  <si>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</si>
  <si>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</si>
  <si>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</si>
  <si>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</si>
  <si>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</si>
  <si>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</si>
  <si>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</si>
  <si>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</si>
  <si>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</si>
  <si>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</si>
  <si>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</si>
  <si>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</si>
  <si>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</si>
  <si>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</si>
  <si>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</si>
  <si>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</si>
  <si>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</si>
  <si>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</si>
  <si>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</si>
  <si>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</si>
  <si>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</si>
  <si>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</si>
  <si>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</si>
  <si>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</si>
  <si>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</si>
  <si>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</si>
  <si>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</si>
  <si>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</si>
  <si>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</si>
  <si>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</si>
  <si>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</si>
  <si>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</si>
  <si>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</si>
  <si>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</si>
  <si>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</si>
  <si>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</si>
  <si>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</si>
  <si>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</si>
  <si>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</si>
  <si>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</si>
  <si>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</si>
  <si>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</si>
  <si>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</si>
  <si>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</si>
  <si>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</si>
  <si>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</si>
  <si>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</si>
  <si>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</si>
  <si>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</si>
  <si>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</si>
  <si>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</si>
  <si>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</si>
  <si>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</si>
  <si>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</si>
  <si>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</si>
  <si>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</si>
  <si>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</si>
  <si>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</si>
  <si>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</si>
  <si>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</si>
  <si>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</si>
  <si>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</si>
  <si>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</si>
  <si>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</si>
  <si>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</si>
  <si>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</si>
  <si>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</si>
  <si>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</si>
  <si>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</si>
  <si>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</si>
  <si>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</si>
  <si>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</si>
  <si>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</si>
  <si>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</si>
  <si>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</si>
  <si>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</si>
  <si>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</si>
  <si>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</si>
  <si>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</si>
  <si>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</si>
  <si>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</si>
  <si>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</si>
  <si>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</si>
  <si>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</si>
  <si>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</si>
  <si>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</si>
  <si>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</si>
  <si>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</si>
  <si>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</si>
  <si>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</si>
  <si>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</si>
  <si>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</si>
  <si>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</si>
  <si>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</si>
  <si>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</si>
  <si>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</si>
  <si>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</si>
  <si>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</si>
  <si>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</si>
  <si>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</si>
  <si>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</si>
  <si>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</si>
  <si>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</si>
  <si>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</si>
  <si>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</si>
  <si>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</si>
  <si>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</si>
  <si>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</si>
  <si>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</si>
  <si>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</si>
  <si>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</si>
  <si>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</si>
  <si>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</si>
  <si>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</si>
  <si>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</si>
  <si>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</si>
  <si>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</si>
  <si>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</si>
  <si>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</si>
  <si>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</si>
  <si>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</si>
  <si>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</si>
  <si>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</si>
  <si>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</si>
  <si>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</si>
  <si>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</si>
  <si>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</si>
  <si>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</si>
  <si>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</si>
  <si>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</si>
  <si>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</si>
  <si>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</si>
  <si>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</si>
  <si>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</si>
  <si>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</si>
  <si>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</si>
  <si>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</si>
  <si>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</si>
  <si>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</si>
  <si>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</si>
  <si>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</si>
  <si>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</si>
  <si>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</si>
  <si>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</si>
  <si>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</si>
  <si>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</si>
  <si>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</si>
  <si>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</si>
  <si>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</si>
  <si>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</si>
  <si>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</si>
  <si>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</si>
  <si>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</si>
  <si>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</si>
  <si>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</si>
  <si>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</si>
  <si>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</si>
  <si>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</si>
  <si>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</si>
  <si>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</si>
  <si>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</si>
  <si>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</si>
  <si>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</si>
  <si>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</si>
  <si>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</si>
  <si>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</si>
  <si>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</si>
  <si>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</si>
  <si>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</si>
  <si>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</si>
  <si>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</si>
  <si>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</si>
  <si>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</si>
  <si>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</si>
  <si>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</si>
  <si>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</si>
  <si>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</si>
  <si>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</si>
  <si>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</si>
  <si>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</si>
  <si>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</si>
  <si>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</si>
  <si>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</si>
  <si>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</si>
  <si>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</si>
  <si>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</si>
  <si>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</si>
  <si>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</si>
  <si>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</si>
  <si>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</si>
  <si>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</si>
  <si>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</si>
  <si>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</si>
  <si>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</si>
  <si>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</si>
  <si>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</si>
  <si>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</si>
  <si>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</si>
  <si>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</si>
  <si>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</si>
  <si>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</si>
  <si>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</si>
  <si>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</si>
  <si>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</si>
  <si>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</si>
  <si>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</si>
  <si>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</si>
  <si>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</si>
  <si>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</si>
  <si>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</si>
  <si>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</si>
  <si>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</si>
  <si>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</si>
  <si>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</si>
  <si>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</si>
  <si>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</si>
  <si>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</si>
  <si>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</si>
  <si>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</si>
  <si>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</si>
  <si>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</si>
  <si>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</si>
  <si>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</si>
  <si>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</si>
  <si>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</si>
  <si>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</si>
  <si>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</si>
  <si>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</si>
  <si>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ConquerorLevel</t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</si>
  <si>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</si>
  <si>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</si>
  <si>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</si>
  <si>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</si>
  <si>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</si>
  <si>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</si>
  <si>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</si>
  <si>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</si>
  <si>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</si>
  <si>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</si>
  <si>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</si>
  <si>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</si>
  <si>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</si>
  <si>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</si>
  <si>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</si>
  <si>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</si>
  <si>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</si>
  <si>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</si>
  <si>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</si>
  <si>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</si>
  <si>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</si>
  <si>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</si>
  <si>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</si>
  <si>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</si>
  <si>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</si>
  <si>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</si>
  <si>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</si>
  <si>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</si>
  <si>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</si>
  <si>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</si>
  <si>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</si>
  <si>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</si>
  <si>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</si>
  <si>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</si>
  <si>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</si>
  <si>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</si>
  <si>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</si>
  <si>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</si>
  <si>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</si>
  <si>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</si>
  <si>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</si>
  <si>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</si>
  <si>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</si>
  <si>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</si>
  <si>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</si>
  <si>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</si>
  <si>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</si>
  <si>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</si>
  <si>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</si>
  <si>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</si>
  <si>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</si>
  <si>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</si>
  <si>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</si>
  <si>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</si>
  <si>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</si>
  <si>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</si>
  <si>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</si>
  <si>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</si>
  <si>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</si>
  <si>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</si>
  <si>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</si>
  <si>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</si>
  <si>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</si>
  <si>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</si>
  <si>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</si>
  <si>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</si>
  <si>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</si>
  <si>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</si>
  <si>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</si>
  <si>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</si>
  <si>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</si>
  <si>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</si>
  <si>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</si>
  <si>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</si>
  <si>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</si>
  <si>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</si>
  <si>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</si>
  <si>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</si>
  <si>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</si>
  <si>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</si>
  <si>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</si>
  <si>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</si>
  <si>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</si>
  <si>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</si>
  <si>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</si>
  <si>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</si>
  <si>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</si>
  <si>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</si>
  <si>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</si>
  <si>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</si>
  <si>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</si>
  <si>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</si>
  <si>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</si>
  <si>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</si>
  <si>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</si>
  <si>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</si>
  <si>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</si>
  <si>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</si>
  <si>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</si>
  <si>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</si>
  <si>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</si>
  <si>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</si>
  <si>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</si>
  <si>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</si>
  <si>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</si>
  <si>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</si>
  <si>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</si>
  <si>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</si>
  <si>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</si>
  <si>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</si>
  <si>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</si>
  <si>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</si>
  <si>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</si>
  <si>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</si>
  <si>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</si>
  <si>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</si>
  <si>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</si>
  <si>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</si>
  <si>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</si>
  <si>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</si>
  <si>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</si>
  <si>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</si>
  <si>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</si>
  <si>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</si>
  <si>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</si>
  <si>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</si>
  <si>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</si>
  <si>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</si>
  <si>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</si>
  <si>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</si>
  <si>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</si>
  <si>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</si>
  <si>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</si>
  <si>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</si>
  <si>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</si>
  <si>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</si>
  <si>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</si>
  <si>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</si>
  <si>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</si>
  <si>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</si>
  <si>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</si>
  <si>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</si>
  <si>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</si>
  <si>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</si>
  <si>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</si>
  <si>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</si>
  <si>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</si>
  <si>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</si>
  <si>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</si>
  <si>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</si>
  <si>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</si>
  <si>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</si>
  <si>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</si>
  <si>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</si>
  <si>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</si>
  <si>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</si>
  <si>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</si>
  <si>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</si>
  <si>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</si>
  <si>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</si>
  <si>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</si>
  <si>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</si>
  <si>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</si>
  <si>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</si>
  <si>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</si>
  <si>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</si>
  <si>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</si>
  <si>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</si>
  <si>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</si>
  <si>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</si>
  <si>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</si>
  <si>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</si>
  <si>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</si>
  <si>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</si>
  <si>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</si>
  <si>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</si>
  <si>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</si>
  <si>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</si>
  <si>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</si>
  <si>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</si>
  <si>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</si>
  <si>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</si>
  <si>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</si>
  <si>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</si>
  <si>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</si>
  <si>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</si>
  <si>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</si>
  <si>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</si>
  <si>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</si>
  <si>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</si>
  <si>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</si>
  <si>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</si>
  <si>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</si>
  <si>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</si>
  <si>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</si>
  <si>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</si>
  <si>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</si>
  <si>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</si>
  <si>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</si>
  <si>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</si>
  <si>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</si>
  <si>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</si>
  <si>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</si>
  <si>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</si>
  <si>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</si>
  <si>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</si>
  <si>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</si>
  <si>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</si>
  <si>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</si>
  <si>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</si>
  <si>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</si>
  <si>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</si>
  <si>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</si>
  <si>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</si>
  <si>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</si>
  <si>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</si>
  <si>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</si>
  <si>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</si>
  <si>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</si>
  <si>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</si>
  <si>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</si>
  <si>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</si>
  <si>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</si>
  <si>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</si>
  <si>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</si>
  <si>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</si>
  <si>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</si>
  <si>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</si>
  <si>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</si>
  <si>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</si>
  <si>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</si>
  <si>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</si>
  <si>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</si>
  <si>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</si>
  <si>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</si>
  <si>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</si>
  <si>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</si>
  <si>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</si>
  <si>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</si>
  <si>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</si>
  <si>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</si>
  <si>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</si>
  <si>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</si>
  <si>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</si>
  <si>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</si>
  <si>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</si>
  <si>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</si>
  <si>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</si>
  <si>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</si>
  <si>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</si>
  <si>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</si>
  <si>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</si>
  <si>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</si>
  <si>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</si>
  <si>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</si>
  <si>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</si>
  <si>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</si>
  <si>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</si>
  <si>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</si>
  <si>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</si>
  <si>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</si>
  <si>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</si>
  <si>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</si>
  <si>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</si>
  <si>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</si>
  <si>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</si>
  <si>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</si>
  <si>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</si>
  <si>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</si>
  <si>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</si>
  <si>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</si>
  <si>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</si>
  <si>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</si>
  <si>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</si>
  <si>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</si>
  <si>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</si>
  <si>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</si>
  <si>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</si>
  <si>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</si>
  <si>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</si>
  <si>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</si>
  <si>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</si>
  <si>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</si>
  <si>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</si>
  <si>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</si>
  <si>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</si>
  <si>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</si>
  <si>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</si>
  <si>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</si>
  <si>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</si>
  <si>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</si>
  <si>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</si>
  <si>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</si>
  <si>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</si>
  <si>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</si>
  <si>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</si>
  <si>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</si>
  <si>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</si>
  <si>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</si>
  <si>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</si>
  <si>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</si>
  <si>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</si>
  <si>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</si>
  <si>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</si>
  <si>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</si>
  <si>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</si>
  <si>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</si>
  <si>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</si>
  <si>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</si>
  <si>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</si>
  <si>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</si>
  <si>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</si>
  <si>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</si>
  <si>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</si>
  <si>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</si>
  <si>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</si>
  <si>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</si>
  <si>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</si>
  <si>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</si>
  <si>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</si>
  <si>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</si>
  <si>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</si>
  <si>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</si>
  <si>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</si>
  <si>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</si>
  <si>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</si>
  <si>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</si>
  <si>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</si>
  <si>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</si>
  <si>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</si>
  <si>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</si>
  <si>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</si>
  <si>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</si>
  <si>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</si>
  <si>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</si>
  <si>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</si>
  <si>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</si>
  <si>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</si>
  <si>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</si>
  <si>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</si>
  <si>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</si>
  <si>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</si>
  <si>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</si>
  <si>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</si>
  <si>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</si>
  <si>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</si>
  <si>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</si>
  <si>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</si>
  <si>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</si>
  <si>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</si>
  <si>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</si>
  <si>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</si>
  <si>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</si>
  <si>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</si>
  <si>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</si>
  <si>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</si>
  <si>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</si>
  <si>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</si>
  <si>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</si>
  <si>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</si>
  <si>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클라언트와 서버 테이블의 동기화를 위한 시트 입니다.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</si>
  <si>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</si>
  <si>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</si>
  <si>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</si>
  <si>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클라이언트</t>
    <phoneticPr fontId="10" type="noConversion"/>
  </si>
  <si>
    <t>서버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</si>
  <si>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</si>
  <si>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</si>
  <si>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</si>
  <si>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</si>
  <si>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</si>
  <si>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</si>
  <si>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</si>
  <si>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</si>
  <si>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</si>
  <si>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</si>
  <si>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</si>
  <si>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</si>
  <si>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</si>
  <si>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</si>
  <si>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</si>
  <si>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</si>
  <si>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</si>
  <si>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</si>
  <si>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</si>
  <si>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</si>
  <si>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</si>
  <si>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</si>
  <si>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</si>
  <si>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</si>
  <si>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</si>
  <si>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</si>
  <si>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</si>
  <si>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</si>
  <si>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</si>
  <si>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</si>
  <si>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</si>
  <si>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</si>
  <si>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</si>
  <si>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</si>
  <si>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</si>
  <si>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</si>
  <si>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</si>
  <si>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</si>
  <si>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</si>
  <si>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</si>
  <si>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</si>
  <si>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</si>
  <si>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</si>
  <si>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</si>
  <si>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</si>
  <si>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</si>
  <si>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</si>
  <si>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</si>
  <si>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</si>
  <si>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</si>
  <si>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</si>
  <si>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</si>
  <si>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</si>
  <si>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</si>
  <si>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</si>
  <si>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</si>
  <si>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</si>
  <si>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</si>
  <si>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</si>
  <si>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</si>
  <si>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</si>
  <si>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</si>
  <si>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</si>
  <si>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</si>
  <si>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</si>
  <si>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</si>
  <si>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</si>
  <si>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</si>
  <si>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</si>
  <si>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</si>
  <si>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</si>
  <si>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</si>
  <si>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</si>
  <si>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</si>
  <si>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</si>
  <si>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</si>
  <si>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</si>
  <si>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</si>
  <si>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</si>
  <si>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</si>
  <si>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</si>
  <si>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</si>
  <si>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</si>
  <si>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</si>
  <si>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</si>
  <si>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</si>
  <si>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</si>
  <si>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</si>
  <si>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</si>
  <si>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</si>
  <si>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</si>
  <si>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</si>
  <si>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</si>
  <si>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</si>
  <si>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</si>
  <si>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</si>
  <si>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</si>
  <si>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</si>
  <si>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</si>
  <si>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</si>
  <si>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</si>
  <si>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</si>
  <si>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</si>
  <si>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</si>
  <si>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</si>
  <si>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</si>
  <si>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</si>
  <si>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</si>
  <si>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</si>
  <si>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</si>
  <si>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</si>
  <si>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</si>
  <si>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</si>
  <si>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</si>
  <si>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</si>
  <si>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</si>
  <si>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</si>
  <si>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</si>
  <si>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</si>
  <si>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</si>
  <si>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</si>
  <si>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</si>
  <si>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</si>
  <si>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</si>
  <si>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</si>
  <si>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</si>
  <si>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</si>
  <si>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</si>
  <si>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</si>
  <si>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</si>
  <si>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</si>
  <si>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</si>
  <si>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</si>
  <si>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</si>
  <si>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</si>
  <si>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</si>
  <si>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#맵이름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</si>
  <si>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</si>
  <si>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</si>
  <si>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</si>
  <si>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</si>
  <si>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</si>
  <si>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</si>
  <si>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</si>
  <si>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</si>
  <si>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</si>
  <si>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MapName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</si>
  <si>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</si>
  <si>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</si>
  <si>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</si>
  <si>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</si>
  <si>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</si>
  <si>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</si>
  <si>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</si>
  <si>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</si>
  <si>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Tinyint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</si>
  <si>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</si>
  <si>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</si>
  <si>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</si>
  <si>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</si>
  <si>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</si>
  <si>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</si>
  <si>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</si>
  <si>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</si>
  <si>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</si>
  <si>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</si>
  <si>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</si>
  <si>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</si>
  <si>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</si>
  <si>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</si>
  <si>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</si>
  <si>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</si>
  <si>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</si>
  <si>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</si>
  <si>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</si>
  <si>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</si>
  <si>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</si>
  <si>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</si>
  <si>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</si>
  <si>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</si>
  <si>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</si>
  <si>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</si>
  <si>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</si>
  <si>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</si>
  <si>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</si>
  <si>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</si>
  <si>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</si>
  <si>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</si>
  <si>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</si>
  <si>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</si>
  <si>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</si>
  <si>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</si>
  <si>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</si>
  <si>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</si>
  <si>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</si>
  <si>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</si>
  <si>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</si>
  <si>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</si>
  <si>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</si>
  <si>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</si>
  <si>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</si>
  <si>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</si>
  <si>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</si>
  <si>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</si>
  <si>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</si>
  <si>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</si>
  <si>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</si>
  <si>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</si>
  <si>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</si>
  <si>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</si>
  <si>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</si>
  <si>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</si>
  <si>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</si>
  <si>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</si>
  <si>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</si>
  <si>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</si>
  <si>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</si>
  <si>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</si>
  <si>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</si>
  <si>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</si>
  <si>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</si>
  <si>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</si>
  <si>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</si>
  <si>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</si>
  <si>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</si>
  <si>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</si>
  <si>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</si>
  <si>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</si>
  <si>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</si>
  <si>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</si>
  <si>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</si>
  <si>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</si>
  <si>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</si>
  <si>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</si>
  <si>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</si>
  <si>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</si>
  <si>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</si>
  <si>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</si>
  <si>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</si>
  <si>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</si>
  <si>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</si>
  <si>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</si>
  <si>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</si>
  <si>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</si>
  <si>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</si>
  <si>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</si>
  <si>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</si>
  <si>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</si>
  <si>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</si>
  <si>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</si>
  <si>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</si>
  <si>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</si>
  <si>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</si>
  <si>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</si>
  <si>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</si>
  <si>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</si>
  <si>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</si>
  <si>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</si>
  <si>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</si>
  <si>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</si>
  <si>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</si>
  <si>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</si>
  <si>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</si>
  <si>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</si>
  <si>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</si>
  <si>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</si>
  <si>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</si>
  <si>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</si>
  <si>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</si>
  <si>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</si>
  <si>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</si>
  <si>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</si>
  <si>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</si>
  <si>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</si>
  <si>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</si>
  <si>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</si>
  <si>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</si>
  <si>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</si>
  <si>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</si>
  <si>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</si>
  <si>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</si>
  <si>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</si>
  <si>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</si>
  <si>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</si>
  <si>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</si>
  <si>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</si>
  <si>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</si>
  <si>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</si>
  <si>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</si>
  <si>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</si>
  <si>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</si>
  <si>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</si>
  <si>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</si>
  <si>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</si>
  <si>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</si>
  <si>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</si>
  <si>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</si>
  <si>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</si>
  <si>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</si>
  <si>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</si>
  <si>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</si>
  <si>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</si>
  <si>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</si>
  <si>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</si>
  <si>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</si>
  <si>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</si>
  <si>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</si>
  <si>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</si>
  <si>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</si>
  <si>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</si>
  <si>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</si>
  <si>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</si>
  <si>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</si>
  <si>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</si>
  <si>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</si>
  <si>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</si>
  <si>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</si>
  <si>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</si>
  <si>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</si>
  <si>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</si>
  <si>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</si>
  <si>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</si>
  <si>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</si>
  <si>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</si>
  <si>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</si>
  <si>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</si>
  <si>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</si>
  <si>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</si>
  <si>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</si>
  <si>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</si>
  <si>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</si>
  <si>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</si>
  <si>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</si>
  <si>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</si>
  <si>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</si>
  <si>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</si>
  <si>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</si>
  <si>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</si>
  <si>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</si>
  <si>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</si>
  <si>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</si>
  <si>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</si>
  <si>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</si>
  <si>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</si>
  <si>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</si>
  <si>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</si>
  <si>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</si>
  <si>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</si>
  <si>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</si>
  <si>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</si>
  <si>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</si>
  <si>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</si>
  <si>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</si>
  <si>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</si>
  <si>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</si>
  <si>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</si>
  <si>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</si>
  <si>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</si>
  <si>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</si>
  <si>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</si>
  <si>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</si>
  <si>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</si>
  <si>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</si>
  <si>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</si>
  <si>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</si>
  <si>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</si>
  <si>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</si>
  <si>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</si>
  <si>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</si>
  <si>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</si>
  <si>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</si>
  <si>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</si>
  <si>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</si>
  <si>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</si>
  <si>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</si>
  <si>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</si>
  <si>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</si>
  <si>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</si>
  <si>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</si>
  <si>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</si>
  <si>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</si>
  <si>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</si>
  <si>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</si>
  <si>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</si>
  <si>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</si>
  <si>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</si>
  <si>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</si>
  <si>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</si>
  <si>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</si>
  <si>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</si>
  <si>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</si>
  <si>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</si>
  <si>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</si>
  <si>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</si>
  <si>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</si>
  <si>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</si>
  <si>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</si>
  <si>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</si>
  <si>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</si>
  <si>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</si>
  <si>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</si>
  <si>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</si>
  <si>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</si>
  <si>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</si>
  <si>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</si>
  <si>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</si>
  <si>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</si>
  <si>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</si>
  <si>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</si>
  <si>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</si>
  <si>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</si>
  <si>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</si>
  <si>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</si>
  <si>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</si>
  <si>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</si>
  <si>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</si>
  <si>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</si>
  <si>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</si>
  <si>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</si>
  <si>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</si>
  <si>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</si>
  <si>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</si>
  <si>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</si>
  <si>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</si>
  <si>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</si>
  <si>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</si>
  <si>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</si>
  <si>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</si>
  <si>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</si>
  <si>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</si>
  <si>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</si>
  <si>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</si>
  <si>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</si>
  <si>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</si>
  <si>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</si>
  <si>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</si>
  <si>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</si>
  <si>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</si>
  <si>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</si>
  <si>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</si>
  <si>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</si>
  <si>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</si>
  <si>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</si>
  <si>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</si>
  <si>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</si>
  <si>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</si>
  <si>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</si>
  <si>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</si>
  <si>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</si>
  <si>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</si>
  <si>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</si>
  <si>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</si>
  <si>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</si>
  <si>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</si>
  <si>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</si>
  <si>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</si>
  <si>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</si>
  <si>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</si>
  <si>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</si>
  <si>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</si>
  <si>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</si>
  <si>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</si>
  <si>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</si>
  <si>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</si>
  <si>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</si>
  <si>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</si>
  <si>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</si>
  <si>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</si>
  <si>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</si>
  <si>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</si>
  <si>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</si>
  <si>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</si>
  <si>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</si>
  <si>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</si>
  <si>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</si>
  <si>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</si>
  <si>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</si>
  <si>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</si>
  <si>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</si>
  <si>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</si>
  <si>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</si>
  <si>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</si>
  <si>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</si>
  <si>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</si>
  <si>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</si>
  <si>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</si>
  <si>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</si>
  <si>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</si>
  <si>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</si>
  <si>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</si>
  <si>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</si>
  <si>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</si>
  <si>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</si>
  <si>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</si>
  <si>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</si>
  <si>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</si>
  <si>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</si>
  <si>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</si>
  <si>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</si>
  <si>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</si>
  <si>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</si>
  <si>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</si>
  <si>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</si>
  <si>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</si>
  <si>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</si>
  <si>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</si>
  <si>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</si>
  <si>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</si>
  <si>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</si>
  <si>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</si>
  <si>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</si>
  <si>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</si>
  <si>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</si>
  <si>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</si>
  <si>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</si>
  <si>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</si>
  <si>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</si>
  <si>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</si>
  <si>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</si>
  <si>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</si>
  <si>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</si>
  <si>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</si>
  <si>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</si>
  <si>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</si>
  <si>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</si>
  <si>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</si>
  <si>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</si>
  <si>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</si>
  <si>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</si>
  <si>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</si>
  <si>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</si>
  <si>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</si>
  <si>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</si>
  <si>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</si>
  <si>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</si>
  <si>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</si>
  <si>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</si>
  <si>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</si>
  <si>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</si>
  <si>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</si>
  <si>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</si>
  <si>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</si>
  <si>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</si>
  <si>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</si>
  <si>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</si>
  <si>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</si>
  <si>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</si>
  <si>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</si>
  <si>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</si>
  <si>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</si>
  <si>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</si>
  <si>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</si>
  <si>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</si>
  <si>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</si>
  <si>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</si>
  <si>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</si>
  <si>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</si>
  <si>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</si>
  <si>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byte</t>
  </si>
  <si>
    <t>SmallInt</t>
  </si>
  <si>
    <t>short</t>
  </si>
  <si>
    <t>int</t>
  </si>
  <si>
    <t>Float</t>
  </si>
  <si>
    <t>float</t>
  </si>
  <si>
    <t>Double</t>
  </si>
  <si>
    <t>double</t>
  </si>
  <si>
    <t>long</t>
  </si>
  <si>
    <t>Char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</si>
  <si>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</si>
  <si>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</si>
  <si>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</si>
  <si>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</si>
  <si>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</si>
  <si>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</si>
  <si>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</si>
  <si>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</si>
  <si>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</si>
  <si>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</si>
  <si>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</si>
  <si>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</si>
  <si>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</si>
  <si>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</si>
  <si>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</si>
  <si>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</si>
  <si>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</si>
  <si>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</si>
  <si>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</si>
  <si>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</si>
  <si>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</si>
  <si>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</si>
  <si>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</si>
  <si>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</si>
  <si>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</si>
  <si>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</si>
  <si>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</si>
  <si>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</si>
  <si>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</si>
  <si>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</si>
  <si>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</si>
  <si>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</si>
  <si>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</si>
  <si>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</si>
  <si>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</si>
  <si>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</si>
  <si>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</si>
  <si>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</si>
  <si>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</si>
  <si>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</si>
  <si>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</si>
  <si>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</si>
  <si>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</si>
  <si>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</si>
  <si>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</si>
  <si>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</si>
  <si>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</si>
  <si>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</si>
  <si>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</si>
  <si>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</si>
  <si>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</si>
  <si>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</si>
  <si>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</si>
  <si>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</si>
  <si>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</si>
  <si>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</si>
  <si>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</si>
  <si>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</si>
  <si>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</si>
  <si>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</si>
  <si>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</si>
  <si>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</si>
  <si>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</si>
  <si>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</si>
  <si>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</si>
  <si>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</si>
  <si>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</si>
  <si>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</si>
  <si>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</si>
  <si>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</si>
  <si>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</si>
  <si>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</si>
  <si>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</si>
  <si>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</si>
  <si>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</si>
  <si>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</si>
  <si>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</si>
  <si>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</si>
  <si>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</si>
  <si>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</si>
  <si>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</si>
  <si>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</si>
  <si>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</si>
  <si>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</si>
  <si>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</si>
  <si>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</si>
  <si>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</si>
  <si>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</si>
  <si>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</si>
  <si>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</si>
  <si>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</si>
  <si>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</si>
  <si>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</si>
  <si>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</si>
  <si>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</si>
  <si>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</si>
  <si>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</si>
  <si>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</si>
  <si>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</si>
  <si>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</si>
  <si>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</si>
  <si>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</si>
  <si>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</si>
  <si>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</si>
  <si>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</si>
  <si>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</si>
  <si>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</si>
  <si>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</si>
  <si>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</si>
  <si>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</si>
  <si>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</si>
  <si>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※ 테이블을 읽지 못하는 경우(행을 3개 이상 읽지 못학경우) 마지막 필드의 데이터를 채워보도록 하자.</t>
    <phoneticPr fontId="10" type="noConversion"/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</si>
  <si>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</si>
  <si>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</si>
  <si>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</si>
  <si>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</si>
  <si>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</si>
  <si>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</si>
  <si>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</si>
  <si>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</si>
  <si>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</si>
  <si>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</si>
  <si>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</si>
  <si>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</si>
  <si>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</si>
  <si>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</si>
  <si>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</si>
  <si>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</si>
  <si>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</si>
  <si>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</si>
  <si>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</si>
  <si>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</si>
  <si>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</si>
  <si>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</si>
  <si>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</si>
  <si>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</si>
  <si>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</si>
  <si>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</si>
  <si>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</si>
  <si>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</si>
  <si>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</si>
  <si>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</si>
  <si>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</si>
  <si>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</si>
  <si>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</si>
  <si>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</si>
  <si>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</si>
  <si>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</si>
  <si>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</si>
  <si>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</si>
  <si>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</si>
  <si>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</si>
  <si>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</si>
  <si>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</si>
  <si>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</si>
  <si>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</si>
  <si>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</si>
  <si>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</si>
  <si>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</si>
  <si>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</si>
  <si>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</si>
  <si>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※ Multilingual, PR, Tag 테이블은 특수 테이블이므로 고정적으로 사용하도록 한다.(즉 위치 및 이름을 변경하지 않도록 한다.)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</si>
  <si>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</si>
  <si>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</si>
  <si>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</si>
  <si>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</si>
  <si>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</si>
  <si>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</si>
  <si>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</si>
  <si>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</si>
  <si>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</si>
  <si>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</si>
  <si>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</si>
  <si>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</si>
  <si>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</si>
  <si>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</si>
  <si>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</si>
  <si>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</si>
  <si>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</si>
  <si>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</si>
  <si>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</si>
  <si>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</si>
  <si>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</si>
  <si>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</si>
  <si>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</si>
  <si>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</si>
  <si>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</si>
  <si>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</si>
  <si>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</si>
  <si>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</si>
  <si>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</si>
  <si>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</si>
  <si>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</si>
  <si>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</si>
  <si>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</si>
  <si>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</si>
  <si>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</si>
  <si>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</si>
  <si>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</si>
  <si>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</si>
  <si>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</si>
  <si>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</si>
  <si>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</si>
  <si>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</si>
  <si>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</si>
  <si>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</si>
  <si>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</si>
  <si>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</si>
  <si>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</si>
  <si>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</si>
  <si>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</si>
  <si>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NPC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</si>
  <si>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</si>
  <si>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</si>
  <si>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</si>
  <si>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</si>
  <si>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</si>
  <si>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</si>
  <si>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</si>
  <si>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</si>
  <si>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</si>
  <si>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</si>
  <si>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</si>
  <si>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</si>
  <si>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</si>
  <si>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</si>
  <si>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</si>
  <si>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</si>
  <si>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</si>
  <si>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</si>
  <si>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</si>
  <si>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</si>
  <si>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</si>
  <si>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</si>
  <si>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TinyInt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</si>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</sst>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3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/>
    <cellStyle name="강조색1 3" xfId="11"/>
    <cellStyle name="강조색1 4" xfId="16"/>
    <cellStyle name="강조색1 5" xfId="44"/>
    <cellStyle name="강조색1 6" xfId="68"/>
    <cellStyle name="셀 확인" xfId="1" builtinId="23"/>
    <cellStyle name="셀 확인 2" xfId="5"/>
    <cellStyle name="셀 확인 3" xfId="10"/>
    <cellStyle name="셀 확인 4" xfId="15"/>
    <cellStyle name="셀 확인 5" xfId="45"/>
    <cellStyle name="셀 확인 6" xfId="69"/>
    <cellStyle name="표준" xfId="0" builtinId="0"/>
    <cellStyle name="표준 10" xfId="67"/>
    <cellStyle name="표준 10 2" xfId="70"/>
    <cellStyle name="표준 10 2 2" xfId="138"/>
    <cellStyle name="표준 10 3" xfId="88"/>
    <cellStyle name="표준 11" xfId="73"/>
    <cellStyle name="표준 11 2" xfId="141"/>
    <cellStyle name="표준 2" xfId="4"/>
    <cellStyle name="표준 3" xfId="3"/>
    <cellStyle name="표준 3 2" xfId="12"/>
    <cellStyle name="표준 3 2 2" xfId="19"/>
    <cellStyle name="표준 3 2 2 2" xfId="26"/>
    <cellStyle name="표준 3 2 2 2 2" xfId="47"/>
    <cellStyle name="표준 3 2 2 2 2 2" xfId="119"/>
    <cellStyle name="표준 3 2 2 2 3" xfId="62"/>
    <cellStyle name="표준 3 2 2 2 3 2" xfId="133"/>
    <cellStyle name="표준 3 2 2 2 4" xfId="74"/>
    <cellStyle name="표준 3 2 2 2 4 2" xfId="142"/>
    <cellStyle name="표준 3 2 2 2 5" xfId="102"/>
    <cellStyle name="표준 3 2 2 3" xfId="33"/>
    <cellStyle name="표준 3 2 2 3 2" xfId="109"/>
    <cellStyle name="표준 3 2 2 4" xfId="40"/>
    <cellStyle name="표준 3 2 2 4 2" xfId="116"/>
    <cellStyle name="표준 3 2 2 5" xfId="58"/>
    <cellStyle name="표준 3 2 2 5 2" xfId="130"/>
    <cellStyle name="표준 3 2 2 6" xfId="72"/>
    <cellStyle name="표준 3 2 2 6 2" xfId="140"/>
    <cellStyle name="표준 3 2 2 7" xfId="90"/>
    <cellStyle name="표준 3 2 3" xfId="22"/>
    <cellStyle name="표준 3 2 3 2" xfId="46"/>
    <cellStyle name="표준 3 2 3 2 2" xfId="118"/>
    <cellStyle name="표준 3 2 3 3" xfId="61"/>
    <cellStyle name="표준 3 2 3 3 2" xfId="132"/>
    <cellStyle name="표준 3 2 3 4" xfId="75"/>
    <cellStyle name="표준 3 2 3 4 2" xfId="143"/>
    <cellStyle name="표준 3 2 3 5" xfId="98"/>
    <cellStyle name="표준 3 2 4" xfId="29"/>
    <cellStyle name="표준 3 2 4 2" xfId="105"/>
    <cellStyle name="표준 3 2 5" xfId="36"/>
    <cellStyle name="표준 3 2 5 2" xfId="112"/>
    <cellStyle name="표준 3 2 6" xfId="54"/>
    <cellStyle name="표준 3 2 6 2" xfId="126"/>
    <cellStyle name="표준 3 2 7" xfId="76"/>
    <cellStyle name="표준 3 2 7 2" xfId="144"/>
    <cellStyle name="표준 3 3" xfId="17"/>
    <cellStyle name="표준 3 3 2" xfId="24"/>
    <cellStyle name="표준 3 3 2 2" xfId="48"/>
    <cellStyle name="표준 3 3 2 2 2" xfId="120"/>
    <cellStyle name="표준 3 3 2 3" xfId="63"/>
    <cellStyle name="표준 3 3 2 3 2" xfId="134"/>
    <cellStyle name="표준 3 3 2 4" xfId="77"/>
    <cellStyle name="표준 3 3 2 4 2" xfId="145"/>
    <cellStyle name="표준 3 3 2 5" xfId="100"/>
    <cellStyle name="표준 3 3 3" xfId="31"/>
    <cellStyle name="표준 3 3 3 2" xfId="107"/>
    <cellStyle name="표준 3 3 4" xfId="38"/>
    <cellStyle name="표준 3 3 4 2" xfId="114"/>
    <cellStyle name="표준 3 3 5" xfId="56"/>
    <cellStyle name="표준 3 3 5 2" xfId="128"/>
    <cellStyle name="표준 3 3 6" xfId="78"/>
    <cellStyle name="표준 3 3 6 2" xfId="146"/>
    <cellStyle name="표준 3 3 7" xfId="94"/>
    <cellStyle name="표준 3 4" xfId="7"/>
    <cellStyle name="표준 3 4 2" xfId="42"/>
    <cellStyle name="표준 3 4 2 2" xfId="117"/>
    <cellStyle name="표준 3 4 3" xfId="60"/>
    <cellStyle name="표준 3 4 3 2" xfId="131"/>
    <cellStyle name="표준 3 4 4" xfId="79"/>
    <cellStyle name="표준 3 4 4 2" xfId="147"/>
    <cellStyle name="표준 3 4 5" xfId="91"/>
    <cellStyle name="표준 3 5" xfId="20"/>
    <cellStyle name="표준 3 5 2" xfId="96"/>
    <cellStyle name="표준 3 6" xfId="27"/>
    <cellStyle name="표준 3 6 2" xfId="103"/>
    <cellStyle name="표준 3 7" xfId="34"/>
    <cellStyle name="표준 3 7 2" xfId="110"/>
    <cellStyle name="표준 3 8" xfId="52"/>
    <cellStyle name="표준 3 8 2" xfId="124"/>
    <cellStyle name="표준 3 9" xfId="80"/>
    <cellStyle name="표준 3 9 2" xfId="148"/>
    <cellStyle name="표준 4" xfId="9"/>
    <cellStyle name="표준 5" xfId="8"/>
    <cellStyle name="표준 5 2" xfId="18"/>
    <cellStyle name="표준 5 2 2" xfId="25"/>
    <cellStyle name="표준 5 2 2 2" xfId="50"/>
    <cellStyle name="표준 5 2 2 2 2" xfId="122"/>
    <cellStyle name="표준 5 2 2 3" xfId="65"/>
    <cellStyle name="표준 5 2 2 3 2" xfId="136"/>
    <cellStyle name="표준 5 2 2 4" xfId="81"/>
    <cellStyle name="표준 5 2 2 4 2" xfId="149"/>
    <cellStyle name="표준 5 2 2 5" xfId="101"/>
    <cellStyle name="표준 5 2 3" xfId="32"/>
    <cellStyle name="표준 5 2 3 2" xfId="108"/>
    <cellStyle name="표준 5 2 4" xfId="39"/>
    <cellStyle name="표준 5 2 4 2" xfId="115"/>
    <cellStyle name="표준 5 2 5" xfId="57"/>
    <cellStyle name="표준 5 2 5 2" xfId="129"/>
    <cellStyle name="표준 5 2 6" xfId="82"/>
    <cellStyle name="표준 5 2 6 2" xfId="150"/>
    <cellStyle name="표준 5 2 7" xfId="95"/>
    <cellStyle name="표준 5 3" xfId="21"/>
    <cellStyle name="표준 5 3 2" xfId="49"/>
    <cellStyle name="표준 5 3 2 2" xfId="121"/>
    <cellStyle name="표준 5 3 3" xfId="64"/>
    <cellStyle name="표준 5 3 3 2" xfId="135"/>
    <cellStyle name="표준 5 3 4" xfId="83"/>
    <cellStyle name="표준 5 3 4 2" xfId="151"/>
    <cellStyle name="표준 5 3 5" xfId="97"/>
    <cellStyle name="표준 5 4" xfId="28"/>
    <cellStyle name="표준 5 4 2" xfId="104"/>
    <cellStyle name="표준 5 5" xfId="35"/>
    <cellStyle name="표준 5 5 2" xfId="111"/>
    <cellStyle name="표준 5 6" xfId="53"/>
    <cellStyle name="표준 5 6 2" xfId="125"/>
    <cellStyle name="표준 5 7" xfId="84"/>
    <cellStyle name="표준 5 7 2" xfId="152"/>
    <cellStyle name="표준 5 8" xfId="92"/>
    <cellStyle name="표준 6" xfId="14"/>
    <cellStyle name="표준 7" xfId="13"/>
    <cellStyle name="표준 7 2" xfId="23"/>
    <cellStyle name="표준 7 2 2" xfId="51"/>
    <cellStyle name="표준 7 2 2 2" xfId="123"/>
    <cellStyle name="표준 7 2 3" xfId="66"/>
    <cellStyle name="표준 7 2 3 2" xfId="137"/>
    <cellStyle name="표준 7 2 4" xfId="85"/>
    <cellStyle name="표준 7 2 4 2" xfId="153"/>
    <cellStyle name="표준 7 2 5" xfId="99"/>
    <cellStyle name="표준 7 3" xfId="30"/>
    <cellStyle name="표준 7 3 2" xfId="106"/>
    <cellStyle name="표준 7 4" xfId="37"/>
    <cellStyle name="표준 7 4 2" xfId="113"/>
    <cellStyle name="표준 7 5" xfId="55"/>
    <cellStyle name="표준 7 5 2" xfId="127"/>
    <cellStyle name="표준 7 6" xfId="86"/>
    <cellStyle name="표준 7 6 2" xfId="154"/>
    <cellStyle name="표준 7 7" xfId="93"/>
    <cellStyle name="표준 8" xfId="43"/>
    <cellStyle name="표준 9" xfId="41"/>
    <cellStyle name="표준 9 2" xfId="59"/>
    <cellStyle name="표준 9 2 2" xfId="71"/>
    <cellStyle name="표준 9 2 2 2" xfId="139"/>
    <cellStyle name="표준 9 2 3" xfId="89"/>
    <cellStyle name="표준 9 3" xfId="87"/>
    <cellStyle name="표준 9 3 2" xfId="155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=""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=""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69"/>
  <sheetViews>
    <sheetView workbookViewId="0">
      <selection activeCell="P24" sqref="P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47" t="s">
        <v>64</v>
      </c>
      <c r="C2" s="2" t="s">
        <v>65</v>
      </c>
      <c r="D2" s="2" t="s">
        <v>66</v>
      </c>
      <c r="F2" s="3" t="s">
        <v>67</v>
      </c>
    </row>
    <row r="3" spans="2:23">
      <c r="B3" s="248"/>
      <c r="C3" s="4">
        <v>0.32300001382827759</v>
      </c>
      <c r="D3" s="4">
        <v>0.32199999690055847</v>
      </c>
      <c r="F3" s="3" t="s">
        <v>70</v>
      </c>
    </row>
    <row r="4" spans="2:23">
      <c r="F4" s="3" t="s">
        <v>68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73</v>
      </c>
      <c r="C6" s="5"/>
      <c r="D6" s="5"/>
      <c r="F6" s="178" t="s">
        <v>1251</v>
      </c>
      <c r="G6" s="176" t="s">
        <v>1252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69</v>
      </c>
      <c r="P10" s="3" t="s">
        <v>1293</v>
      </c>
    </row>
    <row r="11" spans="2:23">
      <c r="P11" s="3" t="s">
        <v>1429</v>
      </c>
      <c r="T11" s="174"/>
      <c r="U11" s="175"/>
      <c r="V11" s="175"/>
    </row>
    <row r="12" spans="2:23" ht="16.5">
      <c r="B12" s="7" t="s">
        <v>0</v>
      </c>
      <c r="C12" s="224" t="s">
        <v>1</v>
      </c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P12" s="189" t="s">
        <v>1291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5</v>
      </c>
      <c r="C13" s="224" t="s">
        <v>80</v>
      </c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P13" s="189" t="s">
        <v>1292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6</v>
      </c>
      <c r="C14" s="224" t="s">
        <v>79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P14" s="189" t="s">
        <v>1468</v>
      </c>
      <c r="Q14" s="190" t="s">
        <v>1469</v>
      </c>
      <c r="R14" s="180"/>
      <c r="S14" s="180"/>
      <c r="T14" s="181"/>
      <c r="U14" s="181"/>
      <c r="V14" s="182"/>
      <c r="W14" s="183"/>
    </row>
    <row r="15" spans="2:23" ht="16.5">
      <c r="B15" s="7" t="s">
        <v>62</v>
      </c>
      <c r="C15" s="238" t="s">
        <v>81</v>
      </c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40"/>
      <c r="P15" s="189" t="s">
        <v>1467</v>
      </c>
      <c r="Q15" s="190" t="s">
        <v>1406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24" t="s">
        <v>72</v>
      </c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P16" s="189" t="s">
        <v>1466</v>
      </c>
      <c r="Q16" s="190" t="s">
        <v>1406</v>
      </c>
      <c r="R16" s="180"/>
      <c r="S16" s="180"/>
      <c r="T16" s="181"/>
      <c r="U16" s="181"/>
      <c r="V16" s="182"/>
      <c r="W16" s="183"/>
    </row>
    <row r="17" spans="2:14">
      <c r="B17" s="7" t="s">
        <v>71</v>
      </c>
      <c r="C17" s="224" t="s">
        <v>3</v>
      </c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</row>
    <row r="18" spans="2:14">
      <c r="B18" s="7" t="s">
        <v>63</v>
      </c>
      <c r="C18" s="224" t="s">
        <v>4</v>
      </c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1217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94</v>
      </c>
      <c r="C21" s="159" t="s">
        <v>1264</v>
      </c>
      <c r="D21" s="159" t="s">
        <v>1218</v>
      </c>
      <c r="E21" s="159" t="s">
        <v>1219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12</v>
      </c>
      <c r="D22" s="159" t="s">
        <v>1220</v>
      </c>
      <c r="E22" s="159" t="s">
        <v>14</v>
      </c>
      <c r="F22" s="157"/>
      <c r="G22" s="157" t="s">
        <v>1459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1465</v>
      </c>
      <c r="D23" s="159" t="s">
        <v>1221</v>
      </c>
      <c r="E23" s="159">
        <v>1</v>
      </c>
      <c r="F23" s="157"/>
      <c r="G23" s="211" t="s">
        <v>1456</v>
      </c>
      <c r="H23" s="211" t="s">
        <v>1460</v>
      </c>
      <c r="I23" s="157"/>
      <c r="J23" s="157"/>
      <c r="K23" s="157"/>
      <c r="L23" s="157"/>
    </row>
    <row r="24" spans="2:14">
      <c r="B24" s="159">
        <v>3</v>
      </c>
      <c r="C24" s="159" t="s">
        <v>1222</v>
      </c>
      <c r="D24" s="159" t="s">
        <v>1223</v>
      </c>
      <c r="E24" s="159">
        <v>2</v>
      </c>
      <c r="F24" s="157"/>
      <c r="G24" s="211" t="s">
        <v>1457</v>
      </c>
      <c r="H24" s="211" t="s">
        <v>1460</v>
      </c>
      <c r="I24" s="157"/>
      <c r="J24" s="157"/>
      <c r="K24" s="157"/>
      <c r="L24" s="157"/>
    </row>
    <row r="25" spans="2:14">
      <c r="B25" s="159">
        <v>4</v>
      </c>
      <c r="C25" s="159" t="s">
        <v>15</v>
      </c>
      <c r="D25" s="159" t="s">
        <v>1224</v>
      </c>
      <c r="E25" s="159">
        <v>4</v>
      </c>
      <c r="F25" s="157"/>
      <c r="G25" s="212" t="s">
        <v>1458</v>
      </c>
      <c r="H25" s="213" t="s">
        <v>1460</v>
      </c>
      <c r="I25" s="214" t="s">
        <v>1464</v>
      </c>
      <c r="J25" s="157"/>
      <c r="K25" s="157"/>
      <c r="L25" s="157"/>
    </row>
    <row r="26" spans="2:14">
      <c r="B26" s="159">
        <v>5</v>
      </c>
      <c r="C26" s="159" t="s">
        <v>1225</v>
      </c>
      <c r="D26" s="159" t="s">
        <v>1226</v>
      </c>
      <c r="E26" s="159">
        <v>4</v>
      </c>
      <c r="F26" s="157"/>
      <c r="G26" s="213" t="s">
        <v>1462</v>
      </c>
      <c r="H26" s="213" t="s">
        <v>1460</v>
      </c>
      <c r="I26" s="215" t="s">
        <v>1464</v>
      </c>
      <c r="J26" s="157"/>
      <c r="K26" s="157"/>
      <c r="L26" s="157"/>
    </row>
    <row r="27" spans="2:14">
      <c r="B27" s="159">
        <v>6</v>
      </c>
      <c r="C27" s="159" t="s">
        <v>1227</v>
      </c>
      <c r="D27" s="159" t="s">
        <v>1228</v>
      </c>
      <c r="E27" s="159">
        <v>8</v>
      </c>
      <c r="F27" s="157"/>
      <c r="G27" s="213" t="s">
        <v>1463</v>
      </c>
      <c r="H27" s="213" t="s">
        <v>1461</v>
      </c>
      <c r="I27" s="215" t="s">
        <v>1464</v>
      </c>
      <c r="J27" s="157"/>
      <c r="K27" s="157"/>
      <c r="L27" s="157"/>
    </row>
    <row r="28" spans="2:14">
      <c r="B28" s="159">
        <v>7</v>
      </c>
      <c r="C28" s="155" t="s">
        <v>23</v>
      </c>
      <c r="D28" s="159" t="s">
        <v>1229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1230</v>
      </c>
      <c r="D29" s="159" t="s">
        <v>1231</v>
      </c>
      <c r="E29" s="159" t="s">
        <v>1231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207</v>
      </c>
    </row>
    <row r="34" spans="2:9">
      <c r="B34" s="8" t="s">
        <v>8</v>
      </c>
      <c r="C34" s="8" t="s">
        <v>9</v>
      </c>
      <c r="D34" s="221" t="s">
        <v>10</v>
      </c>
      <c r="E34" s="222"/>
      <c r="F34" s="222"/>
      <c r="G34" s="223"/>
      <c r="H34" s="35" t="s">
        <v>11</v>
      </c>
      <c r="I34" s="37" t="s">
        <v>192</v>
      </c>
    </row>
    <row r="35" spans="2:9">
      <c r="B35" s="225" t="s">
        <v>7</v>
      </c>
      <c r="C35" s="8" t="s">
        <v>12</v>
      </c>
      <c r="D35" s="249" t="s">
        <v>13</v>
      </c>
      <c r="E35" s="249"/>
      <c r="F35" s="249"/>
      <c r="G35" s="249"/>
      <c r="H35" s="35" t="s">
        <v>14</v>
      </c>
      <c r="I35" s="37" t="s">
        <v>193</v>
      </c>
    </row>
    <row r="36" spans="2:9" ht="56.25" customHeight="1">
      <c r="B36" s="225"/>
      <c r="C36" s="8" t="s">
        <v>15</v>
      </c>
      <c r="D36" s="249" t="s">
        <v>16</v>
      </c>
      <c r="E36" s="249"/>
      <c r="F36" s="249"/>
      <c r="G36" s="249"/>
      <c r="H36" s="35" t="s">
        <v>17</v>
      </c>
      <c r="I36" s="37" t="s">
        <v>194</v>
      </c>
    </row>
    <row r="37" spans="2:9" ht="22.5" customHeight="1">
      <c r="B37" s="225"/>
      <c r="C37" s="8" t="s">
        <v>18</v>
      </c>
      <c r="D37" s="249" t="s">
        <v>19</v>
      </c>
      <c r="E37" s="249"/>
      <c r="F37" s="249"/>
      <c r="G37" s="249"/>
      <c r="H37" s="35" t="s">
        <v>20</v>
      </c>
      <c r="I37" s="37" t="s">
        <v>195</v>
      </c>
    </row>
    <row r="38" spans="2:9">
      <c r="B38" s="225"/>
      <c r="C38" s="8" t="s">
        <v>78</v>
      </c>
      <c r="D38" s="221" t="s">
        <v>21</v>
      </c>
      <c r="E38" s="222"/>
      <c r="F38" s="222"/>
      <c r="G38" s="223"/>
      <c r="H38" s="35" t="s">
        <v>22</v>
      </c>
      <c r="I38" s="37" t="s">
        <v>196</v>
      </c>
    </row>
    <row r="39" spans="2:9" ht="22.5" customHeight="1">
      <c r="B39" s="225"/>
      <c r="C39" s="8" t="s">
        <v>23</v>
      </c>
      <c r="D39" s="221" t="s">
        <v>24</v>
      </c>
      <c r="E39" s="222"/>
      <c r="F39" s="222"/>
      <c r="G39" s="223"/>
      <c r="H39" s="35" t="s">
        <v>25</v>
      </c>
      <c r="I39" s="37" t="s">
        <v>197</v>
      </c>
    </row>
    <row r="40" spans="2:9" ht="33.75" customHeight="1">
      <c r="B40" s="225" t="s">
        <v>26</v>
      </c>
      <c r="C40" s="225" t="s">
        <v>204</v>
      </c>
      <c r="D40" s="221" t="s">
        <v>27</v>
      </c>
      <c r="E40" s="222"/>
      <c r="F40" s="222"/>
      <c r="G40" s="223"/>
      <c r="H40" s="226" t="s">
        <v>17</v>
      </c>
      <c r="I40" s="216" t="s">
        <v>198</v>
      </c>
    </row>
    <row r="41" spans="2:9">
      <c r="B41" s="225"/>
      <c r="C41" s="225"/>
      <c r="D41" s="221" t="s">
        <v>28</v>
      </c>
      <c r="E41" s="222"/>
      <c r="F41" s="222"/>
      <c r="G41" s="223"/>
      <c r="H41" s="226"/>
      <c r="I41" s="217"/>
    </row>
    <row r="42" spans="2:9" ht="33.75" customHeight="1">
      <c r="B42" s="225"/>
      <c r="C42" s="225" t="s">
        <v>205</v>
      </c>
      <c r="D42" s="221" t="s">
        <v>27</v>
      </c>
      <c r="E42" s="222"/>
      <c r="F42" s="222"/>
      <c r="G42" s="223"/>
      <c r="H42" s="226" t="s">
        <v>25</v>
      </c>
      <c r="I42" s="216" t="s">
        <v>199</v>
      </c>
    </row>
    <row r="43" spans="2:9">
      <c r="B43" s="225"/>
      <c r="C43" s="225"/>
      <c r="D43" s="221" t="s">
        <v>29</v>
      </c>
      <c r="E43" s="222"/>
      <c r="F43" s="222"/>
      <c r="G43" s="223"/>
      <c r="H43" s="226"/>
      <c r="I43" s="217"/>
    </row>
    <row r="44" spans="2:9" ht="22.5" customHeight="1">
      <c r="B44" s="225"/>
      <c r="C44" s="10" t="s">
        <v>30</v>
      </c>
      <c r="D44" s="228" t="s">
        <v>31</v>
      </c>
      <c r="E44" s="229"/>
      <c r="F44" s="229"/>
      <c r="G44" s="230"/>
      <c r="H44" s="38" t="s">
        <v>17</v>
      </c>
      <c r="I44" s="39" t="s">
        <v>200</v>
      </c>
    </row>
    <row r="45" spans="2:9">
      <c r="B45" s="225" t="s">
        <v>32</v>
      </c>
      <c r="C45" s="8" t="s">
        <v>93</v>
      </c>
      <c r="D45" s="221" t="s">
        <v>33</v>
      </c>
      <c r="E45" s="222"/>
      <c r="F45" s="222"/>
      <c r="G45" s="223"/>
      <c r="H45" s="35" t="s">
        <v>34</v>
      </c>
      <c r="I45" s="218" t="s">
        <v>203</v>
      </c>
    </row>
    <row r="46" spans="2:9">
      <c r="B46" s="225"/>
      <c r="C46" s="225" t="s">
        <v>230</v>
      </c>
      <c r="D46" s="221" t="s">
        <v>33</v>
      </c>
      <c r="E46" s="222"/>
      <c r="F46" s="222"/>
      <c r="G46" s="223"/>
      <c r="H46" s="226" t="s">
        <v>35</v>
      </c>
      <c r="I46" s="219"/>
    </row>
    <row r="47" spans="2:9">
      <c r="B47" s="225"/>
      <c r="C47" s="225"/>
      <c r="D47" s="221"/>
      <c r="E47" s="222"/>
      <c r="F47" s="222"/>
      <c r="G47" s="223"/>
      <c r="H47" s="226"/>
      <c r="I47" s="219"/>
    </row>
    <row r="48" spans="2:9" ht="33.75" customHeight="1">
      <c r="B48" s="225"/>
      <c r="C48" s="225"/>
      <c r="D48" s="232" t="s">
        <v>74</v>
      </c>
      <c r="E48" s="233"/>
      <c r="F48" s="233"/>
      <c r="G48" s="234"/>
      <c r="H48" s="226"/>
      <c r="I48" s="219"/>
    </row>
    <row r="49" spans="2:9">
      <c r="B49" s="225"/>
      <c r="C49" s="225"/>
      <c r="D49" s="232"/>
      <c r="E49" s="233"/>
      <c r="F49" s="233"/>
      <c r="G49" s="234"/>
      <c r="H49" s="226"/>
      <c r="I49" s="219"/>
    </row>
    <row r="50" spans="2:9" ht="45" customHeight="1">
      <c r="B50" s="225"/>
      <c r="C50" s="225"/>
      <c r="D50" s="232" t="s">
        <v>75</v>
      </c>
      <c r="E50" s="233"/>
      <c r="F50" s="233"/>
      <c r="G50" s="234"/>
      <c r="H50" s="226"/>
      <c r="I50" s="219"/>
    </row>
    <row r="51" spans="2:9" ht="45" customHeight="1">
      <c r="B51" s="225"/>
      <c r="C51" s="10" t="s">
        <v>36</v>
      </c>
      <c r="D51" s="235" t="s">
        <v>37</v>
      </c>
      <c r="E51" s="236"/>
      <c r="F51" s="236"/>
      <c r="G51" s="237"/>
      <c r="H51" s="36" t="s">
        <v>92</v>
      </c>
      <c r="I51" s="219"/>
    </row>
    <row r="52" spans="2:9">
      <c r="B52" s="8" t="s">
        <v>38</v>
      </c>
      <c r="C52" s="8" t="s">
        <v>39</v>
      </c>
      <c r="D52" s="221" t="s">
        <v>40</v>
      </c>
      <c r="E52" s="222"/>
      <c r="F52" s="222"/>
      <c r="G52" s="223"/>
      <c r="H52" s="35" t="s">
        <v>41</v>
      </c>
      <c r="I52" s="219"/>
    </row>
    <row r="53" spans="2:9">
      <c r="B53" s="244" t="s">
        <v>32</v>
      </c>
      <c r="C53" s="225" t="s">
        <v>42</v>
      </c>
      <c r="D53" s="221" t="s">
        <v>40</v>
      </c>
      <c r="E53" s="222"/>
      <c r="F53" s="222"/>
      <c r="G53" s="223"/>
      <c r="H53" s="226" t="s">
        <v>43</v>
      </c>
      <c r="I53" s="219"/>
    </row>
    <row r="54" spans="2:9">
      <c r="B54" s="245"/>
      <c r="C54" s="225"/>
      <c r="D54" s="221"/>
      <c r="E54" s="222"/>
      <c r="F54" s="222"/>
      <c r="G54" s="223"/>
      <c r="H54" s="226"/>
      <c r="I54" s="219"/>
    </row>
    <row r="55" spans="2:9" ht="33.75" customHeight="1">
      <c r="B55" s="245"/>
      <c r="C55" s="225"/>
      <c r="D55" s="232" t="s">
        <v>76</v>
      </c>
      <c r="E55" s="233"/>
      <c r="F55" s="233"/>
      <c r="G55" s="234"/>
      <c r="H55" s="226"/>
      <c r="I55" s="219"/>
    </row>
    <row r="56" spans="2:9">
      <c r="B56" s="245"/>
      <c r="C56" s="225"/>
      <c r="D56" s="232"/>
      <c r="E56" s="233"/>
      <c r="F56" s="233"/>
      <c r="G56" s="234"/>
      <c r="H56" s="226"/>
      <c r="I56" s="219"/>
    </row>
    <row r="57" spans="2:9" ht="45" customHeight="1">
      <c r="B57" s="245"/>
      <c r="C57" s="225"/>
      <c r="D57" s="232" t="s">
        <v>75</v>
      </c>
      <c r="E57" s="233"/>
      <c r="F57" s="233"/>
      <c r="G57" s="234"/>
      <c r="H57" s="226"/>
      <c r="I57" s="219"/>
    </row>
    <row r="58" spans="2:9" ht="45" customHeight="1">
      <c r="B58" s="246"/>
      <c r="C58" s="8" t="s">
        <v>44</v>
      </c>
      <c r="D58" s="221" t="s">
        <v>45</v>
      </c>
      <c r="E58" s="222"/>
      <c r="F58" s="222"/>
      <c r="G58" s="223"/>
      <c r="H58" s="35"/>
      <c r="I58" s="220"/>
    </row>
    <row r="59" spans="2:9">
      <c r="B59" s="225" t="s">
        <v>46</v>
      </c>
      <c r="C59" s="10" t="s">
        <v>47</v>
      </c>
      <c r="D59" s="235" t="s">
        <v>33</v>
      </c>
      <c r="E59" s="236"/>
      <c r="F59" s="236"/>
      <c r="G59" s="237"/>
      <c r="H59" s="36" t="s">
        <v>48</v>
      </c>
      <c r="I59" s="37"/>
    </row>
    <row r="60" spans="2:9">
      <c r="B60" s="225"/>
      <c r="C60" s="231" t="s">
        <v>49</v>
      </c>
      <c r="D60" s="235" t="s">
        <v>33</v>
      </c>
      <c r="E60" s="236"/>
      <c r="F60" s="236"/>
      <c r="G60" s="237"/>
      <c r="H60" s="227" t="s">
        <v>50</v>
      </c>
      <c r="I60" s="37"/>
    </row>
    <row r="61" spans="2:9">
      <c r="B61" s="225"/>
      <c r="C61" s="231"/>
      <c r="D61" s="235"/>
      <c r="E61" s="236"/>
      <c r="F61" s="236"/>
      <c r="G61" s="237"/>
      <c r="H61" s="227"/>
      <c r="I61" s="37"/>
    </row>
    <row r="62" spans="2:9" ht="33.75" customHeight="1">
      <c r="B62" s="225"/>
      <c r="C62" s="231"/>
      <c r="D62" s="241" t="s">
        <v>201</v>
      </c>
      <c r="E62" s="242"/>
      <c r="F62" s="242"/>
      <c r="G62" s="243"/>
      <c r="H62" s="227"/>
      <c r="I62" s="37"/>
    </row>
    <row r="63" spans="2:9">
      <c r="B63" s="225"/>
      <c r="C63" s="231"/>
      <c r="D63" s="241"/>
      <c r="E63" s="242"/>
      <c r="F63" s="242"/>
      <c r="G63" s="243"/>
      <c r="H63" s="227"/>
      <c r="I63" s="37"/>
    </row>
    <row r="64" spans="2:9" ht="45" customHeight="1">
      <c r="B64" s="225"/>
      <c r="C64" s="231"/>
      <c r="D64" s="241" t="s">
        <v>202</v>
      </c>
      <c r="E64" s="242"/>
      <c r="F64" s="242"/>
      <c r="G64" s="243"/>
      <c r="H64" s="227"/>
      <c r="I64" s="37"/>
    </row>
    <row r="65" spans="2:9" ht="45" customHeight="1">
      <c r="B65" s="225"/>
      <c r="C65" s="10" t="s">
        <v>51</v>
      </c>
      <c r="D65" s="235" t="s">
        <v>37</v>
      </c>
      <c r="E65" s="236"/>
      <c r="F65" s="236"/>
      <c r="G65" s="237"/>
      <c r="H65" s="36"/>
      <c r="I65" s="37"/>
    </row>
    <row r="66" spans="2:9" ht="22.5" customHeight="1">
      <c r="B66" s="225" t="s">
        <v>52</v>
      </c>
      <c r="C66" s="10" t="s">
        <v>53</v>
      </c>
      <c r="D66" s="235" t="s">
        <v>54</v>
      </c>
      <c r="E66" s="236"/>
      <c r="F66" s="236"/>
      <c r="G66" s="237"/>
      <c r="H66" s="36" t="s">
        <v>25</v>
      </c>
      <c r="I66" s="37"/>
    </row>
    <row r="67" spans="2:9" ht="22.5" customHeight="1">
      <c r="B67" s="225"/>
      <c r="C67" s="10" t="s">
        <v>55</v>
      </c>
      <c r="D67" s="235" t="s">
        <v>56</v>
      </c>
      <c r="E67" s="236"/>
      <c r="F67" s="236"/>
      <c r="G67" s="237"/>
      <c r="H67" s="36" t="s">
        <v>17</v>
      </c>
      <c r="I67" s="37"/>
    </row>
    <row r="68" spans="2:9" ht="78.75" customHeight="1">
      <c r="B68" s="225" t="s">
        <v>57</v>
      </c>
      <c r="C68" s="10" t="s">
        <v>58</v>
      </c>
      <c r="D68" s="235" t="s">
        <v>59</v>
      </c>
      <c r="E68" s="236"/>
      <c r="F68" s="236"/>
      <c r="G68" s="237"/>
      <c r="H68" s="36" t="s">
        <v>25</v>
      </c>
      <c r="I68" s="37"/>
    </row>
    <row r="69" spans="2:9" ht="45" customHeight="1">
      <c r="B69" s="225"/>
      <c r="C69" s="10" t="s">
        <v>60</v>
      </c>
      <c r="D69" s="235" t="s">
        <v>61</v>
      </c>
      <c r="E69" s="236"/>
      <c r="F69" s="236"/>
      <c r="G69" s="237"/>
      <c r="H69" s="36" t="s">
        <v>17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24"/>
  <sheetViews>
    <sheetView tabSelected="1" zoomScale="85" zoomScaleNormal="85" workbookViewId="0">
      <pane ySplit="3" topLeftCell="A4" activePane="bottomLeft" state="frozen"/>
      <selection activeCell="AC80" sqref="AC79:AC80"/>
      <selection pane="bottomLeft" activeCell="I14" sqref="I14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1233</v>
      </c>
      <c r="B1" s="134" t="s">
        <v>1245</v>
      </c>
      <c r="C1" s="134" t="s">
        <v>663</v>
      </c>
      <c r="D1" s="163" t="s">
        <v>1234</v>
      </c>
      <c r="E1" s="134" t="s">
        <v>664</v>
      </c>
      <c r="F1" s="134" t="s">
        <v>665</v>
      </c>
      <c r="G1" s="134" t="s">
        <v>1253</v>
      </c>
      <c r="H1" s="134" t="s">
        <v>666</v>
      </c>
      <c r="I1" s="134" t="s">
        <v>667</v>
      </c>
      <c r="J1" s="134" t="s">
        <v>668</v>
      </c>
      <c r="K1" s="134" t="s">
        <v>669</v>
      </c>
      <c r="L1" s="134" t="s">
        <v>536</v>
      </c>
      <c r="M1" s="134" t="s">
        <v>537</v>
      </c>
      <c r="N1" s="134" t="s">
        <v>538</v>
      </c>
      <c r="O1" s="134" t="s">
        <v>539</v>
      </c>
      <c r="P1" s="134" t="s">
        <v>540</v>
      </c>
      <c r="Q1" s="134" t="s">
        <v>541</v>
      </c>
      <c r="R1" s="126" t="s">
        <v>670</v>
      </c>
      <c r="S1" s="134" t="s">
        <v>671</v>
      </c>
      <c r="T1" s="134" t="s">
        <v>415</v>
      </c>
      <c r="U1" s="134" t="s">
        <v>416</v>
      </c>
      <c r="V1" s="134" t="s">
        <v>417</v>
      </c>
      <c r="W1" s="134" t="s">
        <v>418</v>
      </c>
      <c r="X1" s="134" t="s">
        <v>419</v>
      </c>
      <c r="Y1" s="126" t="s">
        <v>672</v>
      </c>
    </row>
    <row r="2" spans="1:25" s="134" customFormat="1" ht="15.75" customHeight="1">
      <c r="A2" s="134" t="s">
        <v>1244</v>
      </c>
      <c r="B2" s="134" t="s">
        <v>1246</v>
      </c>
      <c r="C2" s="138" t="s">
        <v>674</v>
      </c>
      <c r="D2" s="164"/>
      <c r="E2" s="134" t="s">
        <v>1254</v>
      </c>
      <c r="F2" s="134" t="s">
        <v>1255</v>
      </c>
      <c r="G2" s="134" t="s">
        <v>1256</v>
      </c>
      <c r="H2" s="134" t="s">
        <v>1257</v>
      </c>
      <c r="I2" s="134" t="s">
        <v>676</v>
      </c>
      <c r="J2" s="134" t="s">
        <v>677</v>
      </c>
      <c r="K2" s="134" t="s">
        <v>678</v>
      </c>
      <c r="L2" s="138" t="s">
        <v>679</v>
      </c>
      <c r="M2" s="139" t="s">
        <v>680</v>
      </c>
      <c r="N2" s="139" t="s">
        <v>681</v>
      </c>
      <c r="O2" s="139" t="s">
        <v>682</v>
      </c>
      <c r="P2" s="139" t="s">
        <v>683</v>
      </c>
      <c r="Q2" s="139" t="s">
        <v>684</v>
      </c>
      <c r="R2" s="126"/>
      <c r="S2" s="139" t="s">
        <v>544</v>
      </c>
      <c r="T2" s="139" t="s">
        <v>317</v>
      </c>
      <c r="U2" s="139" t="s">
        <v>318</v>
      </c>
      <c r="V2" s="139" t="s">
        <v>319</v>
      </c>
      <c r="W2" s="139" t="s">
        <v>320</v>
      </c>
      <c r="X2" s="139" t="s">
        <v>321</v>
      </c>
      <c r="Y2" s="126"/>
    </row>
    <row r="3" spans="1:25" s="134" customFormat="1">
      <c r="A3" s="134" t="s">
        <v>675</v>
      </c>
      <c r="B3" s="134" t="s">
        <v>1344</v>
      </c>
      <c r="C3" s="134" t="s">
        <v>675</v>
      </c>
      <c r="D3" s="163"/>
      <c r="E3" s="134" t="s">
        <v>1345</v>
      </c>
      <c r="F3" s="134" t="s">
        <v>1345</v>
      </c>
      <c r="G3" s="134" t="s">
        <v>1345</v>
      </c>
      <c r="H3" s="134" t="s">
        <v>1345</v>
      </c>
      <c r="I3" s="134" t="s">
        <v>675</v>
      </c>
      <c r="J3" s="134" t="s">
        <v>675</v>
      </c>
      <c r="K3" s="134" t="s">
        <v>675</v>
      </c>
      <c r="L3" s="134" t="s">
        <v>675</v>
      </c>
      <c r="M3" s="134" t="s">
        <v>675</v>
      </c>
      <c r="N3" s="134" t="s">
        <v>675</v>
      </c>
      <c r="O3" s="134" t="s">
        <v>675</v>
      </c>
      <c r="P3" s="134" t="s">
        <v>675</v>
      </c>
      <c r="Q3" s="134" t="s">
        <v>675</v>
      </c>
      <c r="R3" s="126"/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  <c r="X3" s="134" t="s">
        <v>675</v>
      </c>
      <c r="Y3" s="126"/>
    </row>
    <row r="4" spans="1:25" s="119" customFormat="1">
      <c r="A4" s="119" t="s">
        <v>685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686</v>
      </c>
      <c r="B1" s="134" t="s">
        <v>687</v>
      </c>
      <c r="C1" s="134" t="s">
        <v>688</v>
      </c>
      <c r="D1" s="134" t="s">
        <v>689</v>
      </c>
      <c r="E1" s="160" t="s">
        <v>1242</v>
      </c>
      <c r="F1" s="134" t="s">
        <v>690</v>
      </c>
      <c r="G1" s="134" t="s">
        <v>691</v>
      </c>
      <c r="H1" s="126" t="s">
        <v>692</v>
      </c>
      <c r="I1" s="134" t="s">
        <v>693</v>
      </c>
      <c r="J1" s="134" t="s">
        <v>694</v>
      </c>
      <c r="K1" s="134" t="s">
        <v>695</v>
      </c>
      <c r="L1" s="134" t="s">
        <v>696</v>
      </c>
      <c r="M1" s="126" t="s">
        <v>697</v>
      </c>
      <c r="N1" s="134" t="s">
        <v>250</v>
      </c>
      <c r="O1" s="134" t="s">
        <v>251</v>
      </c>
      <c r="P1" s="134" t="s">
        <v>698</v>
      </c>
      <c r="Q1" s="134" t="s">
        <v>228</v>
      </c>
      <c r="R1" s="134" t="s">
        <v>229</v>
      </c>
      <c r="S1" s="134" t="s">
        <v>699</v>
      </c>
      <c r="T1" s="134" t="s">
        <v>700</v>
      </c>
      <c r="U1" s="134" t="s">
        <v>701</v>
      </c>
      <c r="V1" s="134" t="s">
        <v>702</v>
      </c>
      <c r="W1" s="134" t="s">
        <v>703</v>
      </c>
      <c r="X1" s="134" t="s">
        <v>704</v>
      </c>
      <c r="Y1" s="126" t="s">
        <v>705</v>
      </c>
      <c r="Z1" s="134" t="s">
        <v>414</v>
      </c>
      <c r="AA1" s="134" t="s">
        <v>415</v>
      </c>
      <c r="AB1" s="134" t="s">
        <v>416</v>
      </c>
      <c r="AC1" s="134" t="s">
        <v>417</v>
      </c>
      <c r="AD1" s="134" t="s">
        <v>418</v>
      </c>
      <c r="AE1" s="134" t="s">
        <v>419</v>
      </c>
      <c r="AF1" s="126" t="s">
        <v>706</v>
      </c>
      <c r="AG1" s="134" t="s">
        <v>707</v>
      </c>
    </row>
    <row r="2" spans="1:33" s="134" customFormat="1" ht="15.75" customHeight="1">
      <c r="A2" s="134" t="s">
        <v>708</v>
      </c>
      <c r="B2" s="134" t="s">
        <v>709</v>
      </c>
      <c r="C2" s="134" t="s">
        <v>710</v>
      </c>
      <c r="D2" s="134" t="s">
        <v>711</v>
      </c>
      <c r="E2" s="160"/>
      <c r="F2" s="134" t="s">
        <v>712</v>
      </c>
      <c r="G2" s="134" t="s">
        <v>713</v>
      </c>
      <c r="H2" s="126"/>
      <c r="I2" s="134" t="s">
        <v>1254</v>
      </c>
      <c r="J2" s="134" t="s">
        <v>1255</v>
      </c>
      <c r="K2" s="134" t="s">
        <v>1256</v>
      </c>
      <c r="L2" s="134" t="s">
        <v>1257</v>
      </c>
      <c r="M2" s="126" t="s">
        <v>714</v>
      </c>
      <c r="N2" s="134" t="s">
        <v>247</v>
      </c>
      <c r="O2" s="134" t="s">
        <v>248</v>
      </c>
      <c r="P2" s="134" t="s">
        <v>249</v>
      </c>
      <c r="Q2" s="134" t="s">
        <v>227</v>
      </c>
      <c r="R2" s="134" t="s">
        <v>715</v>
      </c>
      <c r="S2" s="138" t="s">
        <v>679</v>
      </c>
      <c r="T2" s="139" t="s">
        <v>680</v>
      </c>
      <c r="U2" s="139" t="s">
        <v>681</v>
      </c>
      <c r="V2" s="139" t="s">
        <v>682</v>
      </c>
      <c r="W2" s="139" t="s">
        <v>683</v>
      </c>
      <c r="X2" s="139" t="s">
        <v>684</v>
      </c>
      <c r="Y2" s="126"/>
      <c r="Z2" s="139" t="s">
        <v>544</v>
      </c>
      <c r="AA2" s="139" t="s">
        <v>317</v>
      </c>
      <c r="AB2" s="139" t="s">
        <v>318</v>
      </c>
      <c r="AC2" s="139" t="s">
        <v>319</v>
      </c>
      <c r="AD2" s="139" t="s">
        <v>320</v>
      </c>
      <c r="AE2" s="139" t="s">
        <v>321</v>
      </c>
      <c r="AF2" s="126"/>
      <c r="AG2" s="134" t="s">
        <v>716</v>
      </c>
    </row>
    <row r="3" spans="1:33" s="134" customFormat="1">
      <c r="A3" s="134" t="s">
        <v>675</v>
      </c>
      <c r="B3" s="134" t="s">
        <v>1346</v>
      </c>
      <c r="C3" s="134" t="s">
        <v>675</v>
      </c>
      <c r="D3" s="134" t="s">
        <v>675</v>
      </c>
      <c r="E3" s="160"/>
      <c r="F3" s="134" t="s">
        <v>1346</v>
      </c>
      <c r="G3" s="134" t="s">
        <v>675</v>
      </c>
      <c r="H3" s="126"/>
      <c r="I3" s="134" t="s">
        <v>1346</v>
      </c>
      <c r="J3" s="134" t="s">
        <v>1346</v>
      </c>
      <c r="K3" s="134" t="s">
        <v>1346</v>
      </c>
      <c r="L3" s="134" t="s">
        <v>1346</v>
      </c>
      <c r="M3" s="126"/>
      <c r="N3" s="134" t="s">
        <v>15</v>
      </c>
      <c r="O3" s="134" t="s">
        <v>15</v>
      </c>
      <c r="P3" s="134" t="s">
        <v>15</v>
      </c>
      <c r="Q3" s="134" t="s">
        <v>1346</v>
      </c>
      <c r="R3" s="134" t="s">
        <v>1346</v>
      </c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  <c r="X3" s="134" t="s">
        <v>675</v>
      </c>
      <c r="Y3" s="126"/>
      <c r="Z3" s="134" t="s">
        <v>675</v>
      </c>
      <c r="AA3" s="134" t="s">
        <v>675</v>
      </c>
      <c r="AB3" s="134" t="s">
        <v>675</v>
      </c>
      <c r="AC3" s="134" t="s">
        <v>675</v>
      </c>
      <c r="AD3" s="134" t="s">
        <v>675</v>
      </c>
      <c r="AE3" s="134" t="s">
        <v>675</v>
      </c>
      <c r="AF3" s="126"/>
      <c r="AG3" s="134" t="s">
        <v>675</v>
      </c>
    </row>
    <row r="4" spans="1:33" s="119" customFormat="1">
      <c r="A4" s="119" t="s">
        <v>1243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B4" sqref="B4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545</v>
      </c>
      <c r="B1" s="134" t="s">
        <v>717</v>
      </c>
      <c r="C1" s="134" t="s">
        <v>718</v>
      </c>
      <c r="D1" s="134" t="s">
        <v>719</v>
      </c>
      <c r="E1" s="126" t="s">
        <v>720</v>
      </c>
      <c r="F1" s="134" t="s">
        <v>721</v>
      </c>
      <c r="G1" s="43" t="s">
        <v>720</v>
      </c>
      <c r="H1" s="134" t="s">
        <v>722</v>
      </c>
      <c r="I1" s="43" t="s">
        <v>720</v>
      </c>
      <c r="J1" s="138" t="s">
        <v>723</v>
      </c>
      <c r="K1" s="116" t="s">
        <v>724</v>
      </c>
      <c r="L1" s="134" t="s">
        <v>725</v>
      </c>
    </row>
    <row r="2" spans="1:12" s="134" customFormat="1" ht="15.75" customHeight="1">
      <c r="A2" s="134" t="s">
        <v>673</v>
      </c>
      <c r="B2" s="134" t="s">
        <v>726</v>
      </c>
      <c r="C2" s="134" t="s">
        <v>727</v>
      </c>
      <c r="D2" s="134" t="s">
        <v>728</v>
      </c>
      <c r="E2" s="126"/>
      <c r="F2" s="134" t="s">
        <v>729</v>
      </c>
      <c r="G2" s="43"/>
      <c r="H2" s="134" t="s">
        <v>730</v>
      </c>
      <c r="I2" s="43"/>
      <c r="J2" s="139" t="s">
        <v>731</v>
      </c>
      <c r="K2" s="117" t="s">
        <v>732</v>
      </c>
      <c r="L2" s="134" t="s">
        <v>733</v>
      </c>
    </row>
    <row r="3" spans="1:12" s="134" customFormat="1">
      <c r="A3" s="134" t="s">
        <v>675</v>
      </c>
      <c r="B3" s="134" t="s">
        <v>1347</v>
      </c>
      <c r="C3" s="134" t="s">
        <v>675</v>
      </c>
      <c r="D3" s="134" t="s">
        <v>675</v>
      </c>
      <c r="E3" s="126"/>
      <c r="F3" s="134" t="s">
        <v>675</v>
      </c>
      <c r="G3" s="43"/>
      <c r="H3" s="134" t="s">
        <v>675</v>
      </c>
      <c r="I3" s="43"/>
      <c r="J3" s="139" t="s">
        <v>675</v>
      </c>
      <c r="K3" s="117" t="s">
        <v>675</v>
      </c>
      <c r="L3" s="117" t="s">
        <v>675</v>
      </c>
    </row>
    <row r="4" spans="1:12" s="119" customFormat="1">
      <c r="A4" s="119" t="s">
        <v>734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735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547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736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737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548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738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549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550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551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552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553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554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555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556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557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558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559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560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561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562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739</v>
      </c>
      <c r="B1" s="134" t="s">
        <v>740</v>
      </c>
      <c r="C1" s="134" t="s">
        <v>741</v>
      </c>
      <c r="D1" s="134" t="s">
        <v>742</v>
      </c>
      <c r="E1" s="140" t="s">
        <v>743</v>
      </c>
    </row>
    <row r="2" spans="1:5" s="141" customFormat="1">
      <c r="A2" s="134" t="s">
        <v>744</v>
      </c>
      <c r="B2" s="134" t="s">
        <v>745</v>
      </c>
      <c r="C2" s="134" t="s">
        <v>746</v>
      </c>
      <c r="D2" s="134" t="s">
        <v>747</v>
      </c>
      <c r="E2" s="140"/>
    </row>
    <row r="3" spans="1:5" s="141" customFormat="1">
      <c r="A3" s="134" t="s">
        <v>748</v>
      </c>
      <c r="B3" s="134" t="s">
        <v>748</v>
      </c>
      <c r="C3" s="134" t="s">
        <v>748</v>
      </c>
      <c r="D3" s="134" t="s">
        <v>748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749</v>
      </c>
      <c r="B1" s="134" t="s">
        <v>563</v>
      </c>
      <c r="C1" s="134" t="s">
        <v>564</v>
      </c>
      <c r="D1" s="134" t="s">
        <v>565</v>
      </c>
      <c r="E1" s="134" t="s">
        <v>566</v>
      </c>
      <c r="F1" s="134" t="s">
        <v>567</v>
      </c>
      <c r="G1" s="134" t="s">
        <v>568</v>
      </c>
      <c r="H1" s="134" t="s">
        <v>569</v>
      </c>
      <c r="I1" s="134" t="s">
        <v>570</v>
      </c>
      <c r="J1" s="134" t="s">
        <v>571</v>
      </c>
      <c r="K1" s="134" t="s">
        <v>572</v>
      </c>
      <c r="L1" s="134" t="s">
        <v>573</v>
      </c>
      <c r="M1" s="134" t="s">
        <v>574</v>
      </c>
      <c r="N1" s="134" t="s">
        <v>575</v>
      </c>
      <c r="O1" s="134" t="s">
        <v>576</v>
      </c>
      <c r="P1" s="134" t="s">
        <v>577</v>
      </c>
      <c r="Q1" s="134" t="s">
        <v>578</v>
      </c>
      <c r="R1" s="134" t="s">
        <v>579</v>
      </c>
      <c r="S1" s="134" t="s">
        <v>580</v>
      </c>
      <c r="T1" s="134" t="s">
        <v>581</v>
      </c>
      <c r="U1" s="134" t="s">
        <v>582</v>
      </c>
    </row>
    <row r="2" spans="1:21" s="141" customFormat="1">
      <c r="A2" s="134" t="s">
        <v>542</v>
      </c>
      <c r="B2" s="134" t="s">
        <v>583</v>
      </c>
      <c r="C2" s="134" t="s">
        <v>584</v>
      </c>
      <c r="D2" s="134" t="s">
        <v>585</v>
      </c>
      <c r="E2" s="134" t="s">
        <v>586</v>
      </c>
      <c r="F2" s="134" t="s">
        <v>587</v>
      </c>
      <c r="G2" s="134" t="s">
        <v>588</v>
      </c>
      <c r="H2" s="134" t="s">
        <v>589</v>
      </c>
      <c r="I2" s="134" t="s">
        <v>590</v>
      </c>
      <c r="J2" s="134" t="s">
        <v>591</v>
      </c>
      <c r="K2" s="134" t="s">
        <v>592</v>
      </c>
      <c r="L2" s="134" t="s">
        <v>593</v>
      </c>
      <c r="M2" s="134" t="s">
        <v>594</v>
      </c>
      <c r="N2" s="134" t="s">
        <v>595</v>
      </c>
      <c r="O2" s="134" t="s">
        <v>596</v>
      </c>
      <c r="P2" s="134" t="s">
        <v>597</v>
      </c>
      <c r="Q2" s="134" t="s">
        <v>598</v>
      </c>
      <c r="R2" s="134" t="s">
        <v>599</v>
      </c>
      <c r="S2" s="134" t="s">
        <v>600</v>
      </c>
      <c r="T2" s="134" t="s">
        <v>601</v>
      </c>
      <c r="U2" s="134" t="s">
        <v>602</v>
      </c>
    </row>
    <row r="3" spans="1:21" s="141" customFormat="1">
      <c r="A3" s="134" t="s">
        <v>543</v>
      </c>
      <c r="B3" s="134" t="s">
        <v>543</v>
      </c>
      <c r="C3" s="134" t="s">
        <v>543</v>
      </c>
      <c r="D3" s="134" t="s">
        <v>543</v>
      </c>
      <c r="E3" s="134" t="s">
        <v>543</v>
      </c>
      <c r="F3" s="134" t="s">
        <v>543</v>
      </c>
      <c r="G3" s="134" t="s">
        <v>543</v>
      </c>
      <c r="H3" s="134" t="s">
        <v>543</v>
      </c>
      <c r="I3" s="134" t="s">
        <v>543</v>
      </c>
      <c r="J3" s="134" t="s">
        <v>543</v>
      </c>
      <c r="K3" s="134" t="s">
        <v>543</v>
      </c>
      <c r="L3" s="134" t="s">
        <v>543</v>
      </c>
      <c r="M3" s="134" t="s">
        <v>543</v>
      </c>
      <c r="N3" s="134" t="s">
        <v>543</v>
      </c>
      <c r="O3" s="134" t="s">
        <v>543</v>
      </c>
      <c r="P3" s="134" t="s">
        <v>543</v>
      </c>
      <c r="Q3" s="134" t="s">
        <v>543</v>
      </c>
      <c r="R3" s="134" t="s">
        <v>543</v>
      </c>
      <c r="S3" s="134" t="s">
        <v>543</v>
      </c>
      <c r="T3" s="134" t="s">
        <v>543</v>
      </c>
      <c r="U3" s="134" t="s">
        <v>543</v>
      </c>
    </row>
    <row r="4" spans="1:21" s="119" customFormat="1">
      <c r="A4" s="119" t="s">
        <v>603</v>
      </c>
      <c r="E4" s="127"/>
      <c r="G4" s="44"/>
      <c r="I4" s="44"/>
      <c r="K4" s="118"/>
    </row>
    <row r="5" spans="1:21" s="119" customFormat="1">
      <c r="A5" s="119" t="s">
        <v>604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749</v>
      </c>
      <c r="B1" s="134" t="s">
        <v>750</v>
      </c>
      <c r="C1" s="126" t="s">
        <v>751</v>
      </c>
      <c r="D1" s="134" t="s">
        <v>752</v>
      </c>
      <c r="E1" s="134" t="s">
        <v>753</v>
      </c>
      <c r="F1" s="134" t="s">
        <v>754</v>
      </c>
      <c r="G1" s="134" t="s">
        <v>755</v>
      </c>
      <c r="H1" s="134" t="s">
        <v>756</v>
      </c>
      <c r="I1" s="134" t="s">
        <v>757</v>
      </c>
      <c r="J1" s="134" t="s">
        <v>758</v>
      </c>
      <c r="K1" s="138" t="s">
        <v>759</v>
      </c>
      <c r="L1" s="134" t="s">
        <v>760</v>
      </c>
      <c r="M1" s="134" t="s">
        <v>761</v>
      </c>
      <c r="N1" s="139" t="s">
        <v>762</v>
      </c>
      <c r="O1" s="134" t="s">
        <v>763</v>
      </c>
      <c r="P1" s="134" t="s">
        <v>764</v>
      </c>
      <c r="Q1" s="139" t="s">
        <v>765</v>
      </c>
      <c r="R1" s="134" t="s">
        <v>766</v>
      </c>
      <c r="S1" s="134" t="s">
        <v>767</v>
      </c>
      <c r="T1" s="134" t="s">
        <v>768</v>
      </c>
      <c r="U1" s="134" t="s">
        <v>769</v>
      </c>
      <c r="V1" s="134" t="s">
        <v>770</v>
      </c>
      <c r="W1" s="134" t="s">
        <v>771</v>
      </c>
    </row>
    <row r="2" spans="1:23" s="134" customFormat="1" ht="15.75" customHeight="1">
      <c r="A2" s="134" t="s">
        <v>772</v>
      </c>
      <c r="B2" s="134" t="s">
        <v>773</v>
      </c>
      <c r="C2" s="126"/>
      <c r="D2" s="134" t="s">
        <v>774</v>
      </c>
      <c r="E2" s="134" t="s">
        <v>775</v>
      </c>
      <c r="F2" s="134" t="s">
        <v>776</v>
      </c>
      <c r="G2" s="134" t="s">
        <v>777</v>
      </c>
      <c r="H2" s="134" t="s">
        <v>778</v>
      </c>
      <c r="I2" s="134" t="s">
        <v>779</v>
      </c>
      <c r="J2" s="134" t="s">
        <v>780</v>
      </c>
      <c r="K2" s="139" t="s">
        <v>781</v>
      </c>
      <c r="L2" s="134" t="s">
        <v>782</v>
      </c>
      <c r="M2" s="134" t="s">
        <v>783</v>
      </c>
      <c r="N2" s="139" t="s">
        <v>784</v>
      </c>
      <c r="O2" s="134" t="s">
        <v>785</v>
      </c>
      <c r="P2" s="134" t="s">
        <v>786</v>
      </c>
      <c r="Q2" s="139" t="s">
        <v>787</v>
      </c>
      <c r="R2" s="134" t="s">
        <v>788</v>
      </c>
      <c r="S2" s="134" t="s">
        <v>789</v>
      </c>
      <c r="T2" s="134" t="s">
        <v>790</v>
      </c>
      <c r="U2" s="134" t="s">
        <v>791</v>
      </c>
      <c r="V2" s="134" t="s">
        <v>792</v>
      </c>
      <c r="W2" s="134" t="s">
        <v>793</v>
      </c>
    </row>
    <row r="3" spans="1:23" s="134" customFormat="1">
      <c r="A3" s="134" t="s">
        <v>675</v>
      </c>
      <c r="B3" s="134" t="s">
        <v>675</v>
      </c>
      <c r="C3" s="126"/>
      <c r="D3" s="134" t="s">
        <v>1348</v>
      </c>
      <c r="E3" s="134" t="s">
        <v>1348</v>
      </c>
      <c r="F3" s="134" t="s">
        <v>675</v>
      </c>
      <c r="G3" s="134" t="s">
        <v>1348</v>
      </c>
      <c r="H3" s="134" t="s">
        <v>675</v>
      </c>
      <c r="I3" s="134" t="s">
        <v>675</v>
      </c>
      <c r="J3" s="134" t="s">
        <v>675</v>
      </c>
      <c r="K3" s="139" t="s">
        <v>675</v>
      </c>
      <c r="L3" s="134" t="s">
        <v>675</v>
      </c>
      <c r="M3" s="134" t="s">
        <v>675</v>
      </c>
      <c r="N3" s="139" t="s">
        <v>675</v>
      </c>
      <c r="O3" s="134" t="s">
        <v>675</v>
      </c>
      <c r="P3" s="134" t="s">
        <v>675</v>
      </c>
      <c r="Q3" s="139" t="s">
        <v>675</v>
      </c>
      <c r="R3" s="134" t="s">
        <v>675</v>
      </c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</row>
    <row r="4" spans="1:23" s="142" customFormat="1">
      <c r="A4" s="142" t="s">
        <v>794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8"/>
  <sheetViews>
    <sheetView zoomScale="85" zoomScaleNormal="85" workbookViewId="0">
      <pane ySplit="3" topLeftCell="A4" activePane="bottomLeft" state="frozen"/>
      <selection activeCell="AC80" sqref="AC79:AC80"/>
      <selection pane="bottomLeft" activeCell="G4" sqref="G4"/>
    </sheetView>
  </sheetViews>
  <sheetFormatPr defaultRowHeight="13.5"/>
  <cols>
    <col min="1" max="1" width="9" style="135"/>
    <col min="2" max="2" width="11.25" style="135" bestFit="1" customWidth="1"/>
    <col min="3" max="5" width="9" style="135"/>
    <col min="6" max="6" width="8.75" style="135" bestFit="1" customWidth="1"/>
    <col min="7" max="7" width="10.375" style="135" bestFit="1" customWidth="1"/>
    <col min="8" max="8" width="13.125" style="135" bestFit="1" customWidth="1"/>
    <col min="9" max="9" width="15" style="135" bestFit="1" customWidth="1"/>
    <col min="10" max="10" width="13.125" style="135" bestFit="1" customWidth="1"/>
    <col min="11" max="13" width="13.375" style="135" bestFit="1" customWidth="1"/>
    <col min="14" max="16384" width="9" style="135"/>
  </cols>
  <sheetData>
    <row r="1" spans="1:13" s="134" customFormat="1">
      <c r="A1" s="134" t="s">
        <v>795</v>
      </c>
      <c r="B1" s="138" t="s">
        <v>796</v>
      </c>
      <c r="C1" s="134" t="s">
        <v>797</v>
      </c>
      <c r="D1" s="139" t="s">
        <v>798</v>
      </c>
      <c r="E1" s="139" t="s">
        <v>799</v>
      </c>
      <c r="F1" s="134" t="s">
        <v>800</v>
      </c>
      <c r="G1" s="134" t="s">
        <v>801</v>
      </c>
      <c r="H1" s="134" t="s">
        <v>802</v>
      </c>
      <c r="I1" s="134" t="s">
        <v>803</v>
      </c>
      <c r="J1" s="134" t="s">
        <v>804</v>
      </c>
      <c r="K1" s="134" t="s">
        <v>805</v>
      </c>
      <c r="L1" s="134" t="s">
        <v>806</v>
      </c>
      <c r="M1" s="134" t="s">
        <v>807</v>
      </c>
    </row>
    <row r="2" spans="1:13" s="134" customFormat="1" ht="15.75" customHeight="1">
      <c r="A2" s="134" t="s">
        <v>673</v>
      </c>
      <c r="B2" s="139" t="s">
        <v>808</v>
      </c>
      <c r="C2" s="134" t="s">
        <v>776</v>
      </c>
      <c r="D2" s="139" t="s">
        <v>777</v>
      </c>
      <c r="E2" s="139" t="s">
        <v>809</v>
      </c>
      <c r="F2" s="134" t="s">
        <v>810</v>
      </c>
      <c r="G2" s="134" t="s">
        <v>811</v>
      </c>
      <c r="H2" s="134" t="s">
        <v>812</v>
      </c>
      <c r="I2" s="134" t="s">
        <v>813</v>
      </c>
      <c r="J2" s="134" t="s">
        <v>814</v>
      </c>
      <c r="K2" s="134" t="s">
        <v>815</v>
      </c>
      <c r="L2" s="134" t="s">
        <v>816</v>
      </c>
      <c r="M2" s="134" t="s">
        <v>817</v>
      </c>
    </row>
    <row r="3" spans="1:13" s="134" customFormat="1">
      <c r="A3" s="134" t="s">
        <v>675</v>
      </c>
      <c r="B3" s="139" t="s">
        <v>675</v>
      </c>
      <c r="C3" s="134" t="s">
        <v>675</v>
      </c>
      <c r="D3" s="139" t="s">
        <v>818</v>
      </c>
      <c r="E3" s="139" t="s">
        <v>675</v>
      </c>
      <c r="F3" s="134" t="s">
        <v>675</v>
      </c>
      <c r="G3" s="134" t="s">
        <v>1349</v>
      </c>
      <c r="H3" s="134" t="s">
        <v>675</v>
      </c>
      <c r="I3" s="134" t="s">
        <v>675</v>
      </c>
      <c r="J3" s="134" t="s">
        <v>675</v>
      </c>
      <c r="K3" s="134" t="s">
        <v>675</v>
      </c>
      <c r="L3" s="134" t="s">
        <v>675</v>
      </c>
      <c r="M3" s="134" t="s">
        <v>675</v>
      </c>
    </row>
    <row r="4" spans="1:13" s="124" customFormat="1">
      <c r="A4" s="123" t="s">
        <v>819</v>
      </c>
    </row>
    <row r="5" spans="1:13">
      <c r="A5" s="135">
        <v>1</v>
      </c>
      <c r="B5" s="135">
        <v>1</v>
      </c>
      <c r="C5" s="135">
        <v>101</v>
      </c>
      <c r="D5" s="135">
        <v>1</v>
      </c>
      <c r="E5" s="135">
        <v>0</v>
      </c>
      <c r="F5" s="135">
        <v>7</v>
      </c>
      <c r="G5" s="135">
        <v>1</v>
      </c>
      <c r="H5" s="135">
        <v>1</v>
      </c>
      <c r="I5" s="135">
        <v>2</v>
      </c>
      <c r="J5" s="135">
        <v>3</v>
      </c>
      <c r="K5" s="135">
        <v>1</v>
      </c>
      <c r="L5" s="135">
        <v>2</v>
      </c>
      <c r="M5" s="135">
        <v>3</v>
      </c>
    </row>
    <row r="6" spans="1:13">
      <c r="A6" s="135">
        <v>2</v>
      </c>
      <c r="B6" s="135">
        <v>1</v>
      </c>
      <c r="C6" s="135">
        <v>101</v>
      </c>
      <c r="D6" s="135">
        <v>2</v>
      </c>
      <c r="E6" s="135">
        <v>0</v>
      </c>
      <c r="F6" s="135">
        <v>7</v>
      </c>
      <c r="G6" s="135">
        <v>1</v>
      </c>
      <c r="H6" s="135">
        <v>1</v>
      </c>
      <c r="I6" s="135">
        <v>2</v>
      </c>
      <c r="J6" s="135">
        <v>3</v>
      </c>
      <c r="K6" s="135">
        <v>1</v>
      </c>
      <c r="L6" s="135">
        <v>2</v>
      </c>
      <c r="M6" s="135">
        <v>3</v>
      </c>
    </row>
    <row r="7" spans="1:13">
      <c r="A7" s="135">
        <v>3</v>
      </c>
      <c r="B7" s="135">
        <v>1</v>
      </c>
      <c r="C7" s="135">
        <v>101</v>
      </c>
      <c r="D7" s="135">
        <v>3</v>
      </c>
      <c r="E7" s="135">
        <v>0</v>
      </c>
      <c r="F7" s="135">
        <v>7</v>
      </c>
      <c r="G7" s="135">
        <v>1</v>
      </c>
      <c r="H7" s="135">
        <v>1</v>
      </c>
      <c r="I7" s="135">
        <v>2</v>
      </c>
      <c r="J7" s="135">
        <v>3</v>
      </c>
      <c r="K7" s="135">
        <v>1</v>
      </c>
      <c r="L7" s="135">
        <v>2</v>
      </c>
      <c r="M7" s="135">
        <v>3</v>
      </c>
    </row>
    <row r="8" spans="1:13">
      <c r="A8" s="135">
        <v>4</v>
      </c>
      <c r="B8" s="135">
        <v>1</v>
      </c>
      <c r="C8" s="135">
        <v>101</v>
      </c>
      <c r="D8" s="135">
        <v>4</v>
      </c>
      <c r="E8" s="135">
        <v>0</v>
      </c>
      <c r="F8" s="135">
        <v>7</v>
      </c>
      <c r="G8" s="135">
        <v>1</v>
      </c>
      <c r="H8" s="135">
        <v>1</v>
      </c>
      <c r="I8" s="135">
        <v>2</v>
      </c>
      <c r="J8" s="135">
        <v>3</v>
      </c>
      <c r="K8" s="135">
        <v>1</v>
      </c>
      <c r="L8" s="135">
        <v>2</v>
      </c>
      <c r="M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795</v>
      </c>
      <c r="B1" s="134" t="s">
        <v>797</v>
      </c>
      <c r="C1" s="134" t="s">
        <v>798</v>
      </c>
      <c r="D1" s="134" t="s">
        <v>82</v>
      </c>
      <c r="E1" s="134" t="s">
        <v>83</v>
      </c>
      <c r="F1" s="134" t="s">
        <v>84</v>
      </c>
      <c r="G1" s="134" t="s">
        <v>85</v>
      </c>
      <c r="H1" s="134" t="s">
        <v>86</v>
      </c>
      <c r="I1" s="134" t="s">
        <v>87</v>
      </c>
      <c r="J1" s="134" t="s">
        <v>88</v>
      </c>
      <c r="K1" s="134" t="s">
        <v>89</v>
      </c>
      <c r="L1" s="134" t="s">
        <v>90</v>
      </c>
      <c r="M1" s="134" t="s">
        <v>91</v>
      </c>
    </row>
    <row r="2" spans="1:13" s="134" customFormat="1" ht="15.75" customHeight="1">
      <c r="A2" s="134" t="s">
        <v>673</v>
      </c>
      <c r="B2" s="134" t="s">
        <v>776</v>
      </c>
      <c r="C2" s="134" t="s">
        <v>777</v>
      </c>
      <c r="D2" s="134" t="s">
        <v>820</v>
      </c>
      <c r="E2" s="134" t="s">
        <v>821</v>
      </c>
      <c r="F2" s="134" t="s">
        <v>822</v>
      </c>
      <c r="G2" s="134" t="s">
        <v>823</v>
      </c>
      <c r="H2" s="134" t="s">
        <v>824</v>
      </c>
      <c r="I2" s="134" t="s">
        <v>825</v>
      </c>
      <c r="J2" s="134" t="s">
        <v>826</v>
      </c>
      <c r="K2" s="134" t="s">
        <v>827</v>
      </c>
      <c r="L2" s="134" t="s">
        <v>828</v>
      </c>
      <c r="M2" s="134" t="s">
        <v>829</v>
      </c>
    </row>
    <row r="3" spans="1:13" s="134" customFormat="1">
      <c r="A3" s="134" t="s">
        <v>675</v>
      </c>
      <c r="B3" s="134" t="s">
        <v>675</v>
      </c>
      <c r="C3" s="134" t="s">
        <v>1349</v>
      </c>
      <c r="D3" s="134" t="s">
        <v>675</v>
      </c>
      <c r="E3" s="134" t="s">
        <v>675</v>
      </c>
      <c r="F3" s="134" t="s">
        <v>675</v>
      </c>
      <c r="G3" s="134" t="s">
        <v>675</v>
      </c>
      <c r="H3" s="134" t="s">
        <v>675</v>
      </c>
      <c r="I3" s="134" t="s">
        <v>675</v>
      </c>
      <c r="J3" s="134" t="s">
        <v>675</v>
      </c>
      <c r="K3" s="134" t="s">
        <v>675</v>
      </c>
      <c r="L3" s="134" t="s">
        <v>15</v>
      </c>
      <c r="M3" s="134" t="s">
        <v>675</v>
      </c>
    </row>
    <row r="4" spans="1:13" s="118" customFormat="1">
      <c r="A4" s="118" t="s">
        <v>830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94</v>
      </c>
      <c r="B1" s="41" t="s">
        <v>96</v>
      </c>
      <c r="C1" s="76" t="s">
        <v>831</v>
      </c>
      <c r="D1" s="41" t="s">
        <v>97</v>
      </c>
      <c r="E1" s="41" t="s">
        <v>832</v>
      </c>
      <c r="F1" s="76" t="s">
        <v>833</v>
      </c>
      <c r="G1" s="41" t="s">
        <v>834</v>
      </c>
      <c r="H1" s="76" t="s">
        <v>835</v>
      </c>
      <c r="I1" s="41" t="s">
        <v>836</v>
      </c>
      <c r="J1" s="76" t="s">
        <v>837</v>
      </c>
      <c r="K1" s="76" t="s">
        <v>838</v>
      </c>
      <c r="L1" s="41" t="s">
        <v>839</v>
      </c>
      <c r="M1" s="41" t="s">
        <v>834</v>
      </c>
      <c r="N1" s="76" t="s">
        <v>835</v>
      </c>
      <c r="O1" s="41" t="s">
        <v>840</v>
      </c>
      <c r="P1" s="76" t="s">
        <v>833</v>
      </c>
    </row>
    <row r="2" spans="1:16">
      <c r="A2" s="41" t="s">
        <v>95</v>
      </c>
      <c r="B2" s="41" t="s">
        <v>98</v>
      </c>
      <c r="C2" s="76"/>
      <c r="D2" s="41" t="s">
        <v>841</v>
      </c>
      <c r="E2" s="41" t="s">
        <v>842</v>
      </c>
      <c r="F2" s="76"/>
      <c r="G2" s="41" t="s">
        <v>99</v>
      </c>
      <c r="H2" s="76"/>
      <c r="I2" s="41" t="s">
        <v>843</v>
      </c>
      <c r="J2" s="76"/>
      <c r="K2" s="76"/>
      <c r="L2" s="41" t="s">
        <v>844</v>
      </c>
      <c r="M2" s="41" t="s">
        <v>845</v>
      </c>
      <c r="N2" s="76"/>
      <c r="O2" s="41" t="s">
        <v>846</v>
      </c>
      <c r="P2" s="76"/>
    </row>
    <row r="3" spans="1:16">
      <c r="A3" s="41" t="s">
        <v>15</v>
      </c>
      <c r="B3" s="41" t="s">
        <v>15</v>
      </c>
      <c r="C3" s="76"/>
      <c r="D3" s="41" t="s">
        <v>1350</v>
      </c>
      <c r="E3" s="41" t="s">
        <v>675</v>
      </c>
      <c r="F3" s="76"/>
      <c r="G3" s="41" t="s">
        <v>100</v>
      </c>
      <c r="H3" s="76"/>
      <c r="I3" s="41" t="s">
        <v>675</v>
      </c>
      <c r="J3" s="76"/>
      <c r="K3" s="76"/>
      <c r="L3" s="41" t="s">
        <v>675</v>
      </c>
      <c r="M3" s="41" t="s">
        <v>100</v>
      </c>
      <c r="N3" s="76"/>
      <c r="O3" s="41" t="s">
        <v>675</v>
      </c>
      <c r="P3" s="76"/>
    </row>
    <row r="4" spans="1:16">
      <c r="A4" s="42" t="s">
        <v>101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102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103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94</v>
      </c>
      <c r="B1" s="134" t="s">
        <v>847</v>
      </c>
      <c r="C1" s="134" t="s">
        <v>105</v>
      </c>
    </row>
    <row r="2" spans="1:3">
      <c r="A2" s="134" t="s">
        <v>95</v>
      </c>
      <c r="B2" s="134" t="s">
        <v>106</v>
      </c>
      <c r="C2" s="134" t="s">
        <v>107</v>
      </c>
    </row>
    <row r="3" spans="1:3">
      <c r="A3" s="134" t="s">
        <v>15</v>
      </c>
      <c r="B3" s="134" t="s">
        <v>1261</v>
      </c>
      <c r="C3" s="134"/>
    </row>
    <row r="4" spans="1:3">
      <c r="A4" s="11" t="s">
        <v>108</v>
      </c>
      <c r="B4" s="11"/>
      <c r="C4" s="11"/>
    </row>
    <row r="5" spans="1:3">
      <c r="A5" s="129">
        <v>1</v>
      </c>
      <c r="B5" s="129" t="s">
        <v>104</v>
      </c>
      <c r="C5" s="129"/>
    </row>
    <row r="6" spans="1:3">
      <c r="A6" s="129">
        <v>2</v>
      </c>
      <c r="B6" s="129" t="s">
        <v>109</v>
      </c>
      <c r="C6" s="129" t="s">
        <v>110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Q28" sqref="Q28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795</v>
      </c>
      <c r="B1" s="193" t="s">
        <v>886</v>
      </c>
      <c r="C1" s="192" t="s">
        <v>888</v>
      </c>
      <c r="D1" s="192" t="s">
        <v>889</v>
      </c>
      <c r="E1" s="192" t="s">
        <v>890</v>
      </c>
      <c r="F1" s="192" t="s">
        <v>891</v>
      </c>
      <c r="G1" s="192" t="s">
        <v>892</v>
      </c>
      <c r="H1" s="192" t="s">
        <v>893</v>
      </c>
      <c r="I1" s="192" t="s">
        <v>894</v>
      </c>
      <c r="J1" s="192" t="s">
        <v>895</v>
      </c>
      <c r="K1" s="192" t="s">
        <v>260</v>
      </c>
      <c r="L1" s="192" t="s">
        <v>896</v>
      </c>
      <c r="M1" s="192" t="s">
        <v>261</v>
      </c>
      <c r="N1" s="192" t="s">
        <v>897</v>
      </c>
      <c r="O1" s="192" t="s">
        <v>252</v>
      </c>
      <c r="P1" s="192" t="s">
        <v>898</v>
      </c>
      <c r="Q1" s="192" t="s">
        <v>254</v>
      </c>
      <c r="R1" s="192" t="s">
        <v>899</v>
      </c>
      <c r="S1" s="192" t="s">
        <v>256</v>
      </c>
      <c r="T1" s="192" t="s">
        <v>1330</v>
      </c>
      <c r="U1" s="192" t="s">
        <v>1331</v>
      </c>
      <c r="V1" s="192" t="s">
        <v>1295</v>
      </c>
      <c r="W1" s="192" t="s">
        <v>900</v>
      </c>
      <c r="X1" s="192" t="s">
        <v>901</v>
      </c>
      <c r="Y1" s="192" t="s">
        <v>902</v>
      </c>
      <c r="Z1" s="192" t="s">
        <v>903</v>
      </c>
      <c r="AA1" s="192" t="s">
        <v>904</v>
      </c>
      <c r="AB1" s="192" t="s">
        <v>855</v>
      </c>
      <c r="AC1" s="192" t="s">
        <v>905</v>
      </c>
      <c r="AD1" s="192" t="s">
        <v>857</v>
      </c>
      <c r="AE1" s="192" t="s">
        <v>906</v>
      </c>
      <c r="AF1" s="192" t="s">
        <v>859</v>
      </c>
      <c r="AG1" s="192" t="s">
        <v>887</v>
      </c>
      <c r="AH1" s="192" t="s">
        <v>1329</v>
      </c>
    </row>
    <row r="2" spans="1:34" s="192" customFormat="1" ht="33" customHeight="1">
      <c r="A2" s="192" t="s">
        <v>673</v>
      </c>
      <c r="B2" s="193"/>
      <c r="C2" s="192" t="s">
        <v>907</v>
      </c>
      <c r="D2" s="192" t="s">
        <v>908</v>
      </c>
      <c r="E2" s="192" t="s">
        <v>111</v>
      </c>
      <c r="F2" s="192" t="s">
        <v>77</v>
      </c>
      <c r="G2" s="192" t="s">
        <v>892</v>
      </c>
      <c r="H2" s="192" t="s">
        <v>112</v>
      </c>
      <c r="I2" s="192" t="s">
        <v>909</v>
      </c>
      <c r="J2" s="192" t="s">
        <v>910</v>
      </c>
      <c r="K2" s="192" t="s">
        <v>258</v>
      </c>
      <c r="L2" s="192" t="s">
        <v>911</v>
      </c>
      <c r="M2" s="192" t="s">
        <v>259</v>
      </c>
      <c r="N2" s="192" t="s">
        <v>912</v>
      </c>
      <c r="O2" s="192" t="s">
        <v>253</v>
      </c>
      <c r="P2" s="192" t="s">
        <v>913</v>
      </c>
      <c r="Q2" s="192" t="s">
        <v>255</v>
      </c>
      <c r="R2" s="192" t="s">
        <v>914</v>
      </c>
      <c r="S2" s="192" t="s">
        <v>257</v>
      </c>
      <c r="T2" s="192" t="s">
        <v>1332</v>
      </c>
      <c r="U2" s="192" t="s">
        <v>1333</v>
      </c>
      <c r="V2" s="192" t="s">
        <v>1296</v>
      </c>
      <c r="W2" s="192" t="s">
        <v>820</v>
      </c>
      <c r="X2" s="192" t="s">
        <v>821</v>
      </c>
      <c r="Y2" s="192" t="s">
        <v>131</v>
      </c>
      <c r="Z2" s="192" t="s">
        <v>122</v>
      </c>
      <c r="AA2" s="192" t="s">
        <v>132</v>
      </c>
      <c r="AB2" s="192" t="s">
        <v>123</v>
      </c>
      <c r="AC2" s="192" t="s">
        <v>133</v>
      </c>
      <c r="AD2" s="192" t="s">
        <v>124</v>
      </c>
      <c r="AE2" s="192" t="s">
        <v>134</v>
      </c>
      <c r="AF2" s="192" t="s">
        <v>125</v>
      </c>
      <c r="AG2" s="192" t="s">
        <v>1336</v>
      </c>
      <c r="AH2" s="192" t="s">
        <v>1337</v>
      </c>
    </row>
    <row r="3" spans="1:34" s="134" customFormat="1">
      <c r="A3" s="134" t="s">
        <v>15</v>
      </c>
      <c r="B3" s="126"/>
      <c r="C3" s="134" t="s">
        <v>15</v>
      </c>
      <c r="D3" s="134" t="s">
        <v>15</v>
      </c>
      <c r="E3" s="134" t="s">
        <v>1351</v>
      </c>
      <c r="F3" s="134" t="s">
        <v>1351</v>
      </c>
      <c r="G3" s="134" t="s">
        <v>15</v>
      </c>
      <c r="H3" s="134" t="s">
        <v>15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15</v>
      </c>
      <c r="N3" s="134" t="s">
        <v>15</v>
      </c>
      <c r="O3" s="134" t="s">
        <v>15</v>
      </c>
      <c r="P3" s="134" t="s">
        <v>15</v>
      </c>
      <c r="Q3" s="134" t="s">
        <v>15</v>
      </c>
      <c r="R3" s="134" t="s">
        <v>15</v>
      </c>
      <c r="S3" s="134" t="s">
        <v>15</v>
      </c>
      <c r="T3" s="134" t="s">
        <v>1294</v>
      </c>
      <c r="U3" s="134" t="s">
        <v>1294</v>
      </c>
      <c r="V3" s="134" t="s">
        <v>1294</v>
      </c>
      <c r="W3" s="134" t="s">
        <v>15</v>
      </c>
      <c r="X3" s="134" t="s">
        <v>15</v>
      </c>
      <c r="Y3" s="134" t="s">
        <v>15</v>
      </c>
      <c r="Z3" s="134" t="s">
        <v>15</v>
      </c>
      <c r="AA3" s="134" t="s">
        <v>15</v>
      </c>
      <c r="AB3" s="134" t="s">
        <v>15</v>
      </c>
      <c r="AC3" s="134" t="s">
        <v>15</v>
      </c>
      <c r="AD3" s="134" t="s">
        <v>15</v>
      </c>
      <c r="AE3" s="134" t="s">
        <v>15</v>
      </c>
      <c r="AF3" s="134" t="s">
        <v>15</v>
      </c>
      <c r="AG3" s="134" t="s">
        <v>1262</v>
      </c>
      <c r="AH3" s="134" t="s">
        <v>1262</v>
      </c>
    </row>
    <row r="4" spans="1:34">
      <c r="A4" s="135">
        <v>1500001</v>
      </c>
      <c r="B4" s="133" t="s">
        <v>1338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327</v>
      </c>
      <c r="AH4" s="135" t="s">
        <v>1343</v>
      </c>
    </row>
    <row r="5" spans="1:34">
      <c r="A5" s="135">
        <v>1500002</v>
      </c>
      <c r="B5" s="133" t="s">
        <v>1339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327</v>
      </c>
      <c r="AH5" s="135" t="s">
        <v>1343</v>
      </c>
    </row>
    <row r="6" spans="1:34">
      <c r="A6" s="135">
        <v>1500003</v>
      </c>
      <c r="B6" s="133" t="s">
        <v>400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327</v>
      </c>
      <c r="AH6" s="135" t="s">
        <v>1343</v>
      </c>
    </row>
    <row r="7" spans="1:34">
      <c r="A7" s="132">
        <v>1500004</v>
      </c>
      <c r="B7" s="125" t="s">
        <v>262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328</v>
      </c>
      <c r="AH7" s="135" t="s">
        <v>1343</v>
      </c>
    </row>
    <row r="8" spans="1:34">
      <c r="A8" s="132">
        <v>1500005</v>
      </c>
      <c r="B8" s="125" t="s">
        <v>401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328</v>
      </c>
      <c r="AH8" s="135" t="s">
        <v>1343</v>
      </c>
    </row>
    <row r="9" spans="1:34">
      <c r="A9" s="132">
        <v>1500006</v>
      </c>
      <c r="B9" s="125" t="s">
        <v>402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328</v>
      </c>
      <c r="AH9" s="135" t="s">
        <v>1343</v>
      </c>
    </row>
    <row r="10" spans="1:34">
      <c r="A10" s="132">
        <v>1500007</v>
      </c>
      <c r="B10" s="125" t="s">
        <v>403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328</v>
      </c>
      <c r="AH10" s="135" t="s">
        <v>1343</v>
      </c>
    </row>
    <row r="11" spans="1:34">
      <c r="A11" s="135">
        <v>1500008</v>
      </c>
      <c r="B11" s="133" t="s">
        <v>404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329</v>
      </c>
      <c r="AH11" s="135" t="s">
        <v>1343</v>
      </c>
    </row>
    <row r="12" spans="1:34">
      <c r="A12" s="135">
        <v>1500009</v>
      </c>
      <c r="B12" s="133" t="s">
        <v>405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329</v>
      </c>
      <c r="AH12" s="135" t="s">
        <v>1343</v>
      </c>
    </row>
    <row r="13" spans="1:34">
      <c r="A13" s="135">
        <v>1500010</v>
      </c>
      <c r="B13" s="133" t="s">
        <v>406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329</v>
      </c>
      <c r="AH13" s="135" t="s">
        <v>1343</v>
      </c>
    </row>
    <row r="14" spans="1:34">
      <c r="A14" s="135">
        <v>1500011</v>
      </c>
      <c r="B14" s="133" t="s">
        <v>407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329</v>
      </c>
      <c r="AH14" s="135" t="s">
        <v>1343</v>
      </c>
    </row>
    <row r="15" spans="1:34">
      <c r="A15" s="135">
        <v>1500012</v>
      </c>
      <c r="B15" s="133" t="s">
        <v>408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330</v>
      </c>
      <c r="AH15" s="135" t="s">
        <v>1343</v>
      </c>
    </row>
    <row r="16" spans="1:34">
      <c r="A16" s="135">
        <v>1500013</v>
      </c>
      <c r="B16" s="133" t="s">
        <v>263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330</v>
      </c>
      <c r="AH16" s="135" t="s">
        <v>1343</v>
      </c>
    </row>
    <row r="17" spans="1:34">
      <c r="A17" s="135">
        <v>1500014</v>
      </c>
      <c r="B17" s="133" t="s">
        <v>409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330</v>
      </c>
      <c r="AH17" s="135" t="s">
        <v>1343</v>
      </c>
    </row>
    <row r="18" spans="1:34">
      <c r="A18" s="135">
        <v>1500015</v>
      </c>
      <c r="B18" s="133" t="s">
        <v>410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331</v>
      </c>
      <c r="AH18" s="135" t="s">
        <v>1343</v>
      </c>
    </row>
    <row r="19" spans="1:34">
      <c r="A19" s="135">
        <v>1500016</v>
      </c>
      <c r="B19" s="133" t="s">
        <v>411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331</v>
      </c>
      <c r="AH19" s="135" t="s">
        <v>1343</v>
      </c>
    </row>
    <row r="20" spans="1:34">
      <c r="A20" s="135">
        <v>1500017</v>
      </c>
      <c r="B20" s="133" t="s">
        <v>412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331</v>
      </c>
      <c r="AH20" s="135" t="s">
        <v>1343</v>
      </c>
    </row>
    <row r="21" spans="1:34">
      <c r="A21" s="135">
        <v>1500018</v>
      </c>
      <c r="B21" s="133" t="s">
        <v>264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332</v>
      </c>
      <c r="AH21" s="135" t="s">
        <v>1343</v>
      </c>
    </row>
    <row r="22" spans="1:34">
      <c r="A22" s="135">
        <v>1500019</v>
      </c>
      <c r="B22" s="133" t="s">
        <v>265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333</v>
      </c>
      <c r="AH22" s="135" t="s">
        <v>1343</v>
      </c>
    </row>
    <row r="23" spans="1:34">
      <c r="A23" s="135">
        <v>1500020</v>
      </c>
      <c r="B23" s="133" t="s">
        <v>266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334</v>
      </c>
      <c r="AH23" s="135" t="s">
        <v>1343</v>
      </c>
    </row>
    <row r="24" spans="1:34">
      <c r="A24" s="135">
        <v>1500021</v>
      </c>
      <c r="B24" s="133" t="s">
        <v>267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335</v>
      </c>
      <c r="AH24" s="135" t="s">
        <v>1343</v>
      </c>
    </row>
    <row r="25" spans="1:34" s="137" customFormat="1">
      <c r="A25" s="130" t="s">
        <v>1308</v>
      </c>
      <c r="B25" s="127"/>
    </row>
    <row r="26" spans="1:34">
      <c r="A26" s="135">
        <v>2000000</v>
      </c>
      <c r="B26" s="133" t="s">
        <v>1340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1335</v>
      </c>
      <c r="AH26" s="135" t="s">
        <v>1335</v>
      </c>
    </row>
    <row r="27" spans="1:34">
      <c r="A27" s="135">
        <v>2000001</v>
      </c>
      <c r="B27" s="133" t="s">
        <v>1341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1334</v>
      </c>
      <c r="AH27" s="135" t="s">
        <v>1334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AH73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85" sqref="E85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915</v>
      </c>
      <c r="B1" s="126" t="s">
        <v>940</v>
      </c>
      <c r="C1" s="116" t="s">
        <v>1398</v>
      </c>
      <c r="D1" s="134" t="s">
        <v>943</v>
      </c>
      <c r="E1" s="138" t="s">
        <v>944</v>
      </c>
      <c r="F1" s="134" t="s">
        <v>945</v>
      </c>
      <c r="G1" s="134" t="s">
        <v>946</v>
      </c>
      <c r="H1" s="134" t="s">
        <v>947</v>
      </c>
      <c r="I1" s="134" t="s">
        <v>948</v>
      </c>
      <c r="J1" s="134" t="s">
        <v>949</v>
      </c>
      <c r="K1" s="134" t="s">
        <v>950</v>
      </c>
      <c r="L1" s="134" t="s">
        <v>951</v>
      </c>
      <c r="M1" s="134" t="s">
        <v>952</v>
      </c>
      <c r="N1" s="134" t="s">
        <v>800</v>
      </c>
      <c r="O1" s="138" t="s">
        <v>953</v>
      </c>
      <c r="P1" s="134" t="s">
        <v>954</v>
      </c>
      <c r="Q1" s="134" t="s">
        <v>955</v>
      </c>
      <c r="R1" s="134" t="s">
        <v>956</v>
      </c>
      <c r="S1" s="134" t="s">
        <v>957</v>
      </c>
      <c r="T1" s="134" t="s">
        <v>958</v>
      </c>
      <c r="U1" s="134" t="s">
        <v>959</v>
      </c>
      <c r="V1" s="134" t="s">
        <v>960</v>
      </c>
      <c r="W1" s="134" t="s">
        <v>961</v>
      </c>
      <c r="X1" s="134" t="s">
        <v>322</v>
      </c>
      <c r="Y1" s="134" t="s">
        <v>323</v>
      </c>
      <c r="Z1" s="134" t="s">
        <v>324</v>
      </c>
      <c r="AA1" s="134" t="s">
        <v>325</v>
      </c>
      <c r="AB1" s="134" t="s">
        <v>326</v>
      </c>
      <c r="AC1" s="134" t="s">
        <v>217</v>
      </c>
      <c r="AD1" s="134" t="s">
        <v>218</v>
      </c>
      <c r="AE1" s="134" t="s">
        <v>962</v>
      </c>
      <c r="AF1" s="134" t="s">
        <v>963</v>
      </c>
      <c r="AG1" s="134" t="s">
        <v>941</v>
      </c>
      <c r="AH1" s="134" t="s">
        <v>942</v>
      </c>
    </row>
    <row r="2" spans="1:34" s="134" customFormat="1">
      <c r="A2" s="134" t="s">
        <v>673</v>
      </c>
      <c r="B2" s="126"/>
      <c r="C2" s="117" t="s">
        <v>1399</v>
      </c>
      <c r="D2" s="134" t="s">
        <v>727</v>
      </c>
      <c r="E2" s="138" t="s">
        <v>966</v>
      </c>
      <c r="F2" s="134" t="s">
        <v>967</v>
      </c>
      <c r="G2" s="134" t="s">
        <v>968</v>
      </c>
      <c r="H2" s="134" t="s">
        <v>969</v>
      </c>
      <c r="I2" s="134" t="s">
        <v>970</v>
      </c>
      <c r="J2" s="134" t="s">
        <v>971</v>
      </c>
      <c r="K2" s="134" t="s">
        <v>972</v>
      </c>
      <c r="L2" s="134" t="s">
        <v>973</v>
      </c>
      <c r="M2" s="134" t="s">
        <v>974</v>
      </c>
      <c r="N2" s="134" t="s">
        <v>810</v>
      </c>
      <c r="O2" s="139" t="s">
        <v>975</v>
      </c>
      <c r="P2" s="134" t="s">
        <v>976</v>
      </c>
      <c r="Q2" s="134" t="s">
        <v>977</v>
      </c>
      <c r="R2" s="134" t="s">
        <v>680</v>
      </c>
      <c r="S2" s="134" t="s">
        <v>681</v>
      </c>
      <c r="T2" s="134" t="s">
        <v>682</v>
      </c>
      <c r="U2" s="134" t="s">
        <v>683</v>
      </c>
      <c r="V2" s="134" t="s">
        <v>684</v>
      </c>
      <c r="W2" s="134" t="s">
        <v>978</v>
      </c>
      <c r="X2" s="134" t="s">
        <v>317</v>
      </c>
      <c r="Y2" s="134" t="s">
        <v>318</v>
      </c>
      <c r="Z2" s="134" t="s">
        <v>319</v>
      </c>
      <c r="AA2" s="134" t="s">
        <v>320</v>
      </c>
      <c r="AB2" s="134" t="s">
        <v>321</v>
      </c>
      <c r="AC2" s="134" t="s">
        <v>219</v>
      </c>
      <c r="AD2" s="134" t="s">
        <v>220</v>
      </c>
      <c r="AE2" s="134" t="s">
        <v>979</v>
      </c>
      <c r="AF2" s="134" t="s">
        <v>980</v>
      </c>
      <c r="AG2" s="134" t="s">
        <v>964</v>
      </c>
      <c r="AH2" s="134" t="s">
        <v>965</v>
      </c>
    </row>
    <row r="3" spans="1:34" s="134" customFormat="1">
      <c r="A3" s="134" t="s">
        <v>15</v>
      </c>
      <c r="B3" s="126"/>
      <c r="C3" s="117" t="s">
        <v>1397</v>
      </c>
      <c r="D3" s="134" t="s">
        <v>1351</v>
      </c>
      <c r="E3" s="138" t="s">
        <v>675</v>
      </c>
      <c r="F3" s="134" t="s">
        <v>1351</v>
      </c>
      <c r="G3" s="134" t="s">
        <v>15</v>
      </c>
      <c r="H3" s="134" t="s">
        <v>1351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1351</v>
      </c>
      <c r="N3" s="134" t="s">
        <v>1351</v>
      </c>
      <c r="O3" s="139" t="s">
        <v>675</v>
      </c>
      <c r="P3" s="134" t="s">
        <v>675</v>
      </c>
      <c r="Q3" s="134" t="s">
        <v>675</v>
      </c>
      <c r="R3" s="134" t="s">
        <v>675</v>
      </c>
      <c r="S3" s="134" t="s">
        <v>675</v>
      </c>
      <c r="T3" s="134" t="s">
        <v>675</v>
      </c>
      <c r="U3" s="134" t="s">
        <v>675</v>
      </c>
      <c r="V3" s="134" t="s">
        <v>675</v>
      </c>
      <c r="W3" s="134" t="s">
        <v>675</v>
      </c>
      <c r="X3" s="134" t="s">
        <v>675</v>
      </c>
      <c r="Y3" s="134" t="s">
        <v>675</v>
      </c>
      <c r="Z3" s="134" t="s">
        <v>675</v>
      </c>
      <c r="AA3" s="134" t="s">
        <v>675</v>
      </c>
      <c r="AB3" s="134" t="s">
        <v>675</v>
      </c>
      <c r="AC3" s="134" t="s">
        <v>15</v>
      </c>
      <c r="AD3" s="134" t="s">
        <v>15</v>
      </c>
      <c r="AE3" s="134" t="s">
        <v>15</v>
      </c>
      <c r="AF3" s="134" t="s">
        <v>675</v>
      </c>
      <c r="AG3" s="134" t="s">
        <v>981</v>
      </c>
      <c r="AH3" s="116" t="s">
        <v>982</v>
      </c>
    </row>
    <row r="4" spans="1:34" s="137" customFormat="1">
      <c r="A4" s="130" t="s">
        <v>1309</v>
      </c>
    </row>
    <row r="5" spans="1:34">
      <c r="A5" s="135">
        <v>1</v>
      </c>
      <c r="B5" s="133" t="str">
        <f>VLOOKUP(A:A,Multilingual!A:B,2,FALSE)</f>
        <v>테스트_01</v>
      </c>
      <c r="C5" s="133" t="s">
        <v>1400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1306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1400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1307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1400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1310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1401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413</v>
      </c>
      <c r="AH9" s="136" t="s">
        <v>468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1401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413</v>
      </c>
      <c r="AH10" s="136" t="s">
        <v>469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1401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413</v>
      </c>
      <c r="AH11" s="136" t="s">
        <v>470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1400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413</v>
      </c>
      <c r="AH12" s="136" t="s">
        <v>471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1401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413</v>
      </c>
      <c r="AH13" s="136" t="s">
        <v>472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1401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413</v>
      </c>
      <c r="AH14" s="136" t="s">
        <v>473</v>
      </c>
    </row>
    <row r="15" spans="1:34" s="137" customFormat="1">
      <c r="A15" s="130" t="s">
        <v>983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1401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413</v>
      </c>
      <c r="AH16" s="136" t="s">
        <v>474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1401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413</v>
      </c>
      <c r="AH17" s="136" t="s">
        <v>475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1401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413</v>
      </c>
      <c r="AH18" s="136" t="s">
        <v>476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1401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413</v>
      </c>
      <c r="AH19" s="136" t="s">
        <v>477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1401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413</v>
      </c>
      <c r="AH20" s="136" t="s">
        <v>478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1401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413</v>
      </c>
      <c r="AH21" s="136" t="s">
        <v>479</v>
      </c>
    </row>
    <row r="22" spans="1:34" s="137" customFormat="1">
      <c r="A22" s="130" t="s">
        <v>613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1401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413</v>
      </c>
      <c r="AH23" s="136" t="s">
        <v>480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1401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413</v>
      </c>
      <c r="AH24" s="136" t="s">
        <v>481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1401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413</v>
      </c>
      <c r="AH25" s="136" t="s">
        <v>482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1401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413</v>
      </c>
      <c r="AH26" s="136" t="s">
        <v>483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1401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413</v>
      </c>
      <c r="AH27" s="136" t="s">
        <v>484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1401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413</v>
      </c>
      <c r="AH28" s="136" t="s">
        <v>485</v>
      </c>
    </row>
    <row r="29" spans="1:34" s="137" customFormat="1">
      <c r="A29" s="130" t="s">
        <v>984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1401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413</v>
      </c>
      <c r="AH30" s="136" t="s">
        <v>486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1401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413</v>
      </c>
      <c r="AH31" s="136" t="s">
        <v>487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1401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413</v>
      </c>
      <c r="AH32" s="136" t="s">
        <v>488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1401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413</v>
      </c>
      <c r="AH33" s="136" t="s">
        <v>489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1401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413</v>
      </c>
      <c r="AH34" s="136" t="s">
        <v>490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1401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413</v>
      </c>
      <c r="AH35" s="136" t="s">
        <v>491</v>
      </c>
    </row>
    <row r="36" spans="1:34" s="137" customFormat="1">
      <c r="A36" s="130" t="s">
        <v>985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1401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413</v>
      </c>
      <c r="AH37" s="136" t="s">
        <v>492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1401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413</v>
      </c>
      <c r="AH38" s="136" t="s">
        <v>493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1401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413</v>
      </c>
      <c r="AH39" s="136" t="s">
        <v>494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1401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413</v>
      </c>
      <c r="AH40" s="136" t="s">
        <v>495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1401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413</v>
      </c>
      <c r="AH41" s="136" t="s">
        <v>496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1401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413</v>
      </c>
      <c r="AH42" s="136" t="s">
        <v>497</v>
      </c>
    </row>
    <row r="43" spans="1:34" s="137" customFormat="1">
      <c r="A43" s="130" t="s">
        <v>986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1401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413</v>
      </c>
      <c r="AH44" s="136" t="s">
        <v>614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1401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413</v>
      </c>
      <c r="AH45" s="136" t="s">
        <v>498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1401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413</v>
      </c>
      <c r="AH46" s="136" t="s">
        <v>499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1401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413</v>
      </c>
      <c r="AH47" s="136" t="s">
        <v>500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1401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413</v>
      </c>
      <c r="AH48" s="136" t="s">
        <v>501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1401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413</v>
      </c>
      <c r="AH49" s="136" t="s">
        <v>502</v>
      </c>
    </row>
    <row r="50" spans="1:34" s="137" customFormat="1">
      <c r="A50" s="130" t="s">
        <v>987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1400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413</v>
      </c>
      <c r="AH51" s="136" t="s">
        <v>503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1400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413</v>
      </c>
      <c r="AH52" s="136" t="s">
        <v>504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1400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413</v>
      </c>
      <c r="AH53" s="136" t="s">
        <v>505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1400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413</v>
      </c>
      <c r="AH54" s="136" t="s">
        <v>506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1400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413</v>
      </c>
      <c r="AH55" s="136" t="s">
        <v>507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1400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413</v>
      </c>
      <c r="AH56" s="136" t="s">
        <v>508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1400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413</v>
      </c>
      <c r="AH57" s="136" t="s">
        <v>509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1400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413</v>
      </c>
      <c r="AH58" s="136" t="s">
        <v>510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1400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413</v>
      </c>
      <c r="AH59" s="136" t="s">
        <v>511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1400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413</v>
      </c>
      <c r="AH60" s="136" t="s">
        <v>512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1400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413</v>
      </c>
      <c r="AH61" s="136" t="s">
        <v>513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1400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413</v>
      </c>
      <c r="AH62" s="136" t="s">
        <v>514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1400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413</v>
      </c>
      <c r="AH63" s="136" t="s">
        <v>515</v>
      </c>
    </row>
    <row r="64" spans="1:34" s="137" customFormat="1">
      <c r="A64" s="130" t="s">
        <v>988</v>
      </c>
    </row>
    <row r="65" spans="1:34">
      <c r="A65" s="135">
        <v>900001</v>
      </c>
      <c r="B65" s="133">
        <f>VLOOKUP(A:A,Multilingual!A:B,2,FALSE)</f>
        <v>0</v>
      </c>
      <c r="C65" s="133" t="s">
        <v>1401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989</v>
      </c>
    </row>
    <row r="67" spans="1:34">
      <c r="A67" s="135">
        <v>1000001</v>
      </c>
      <c r="B67" s="133">
        <f>VLOOKUP(A:A,Multilingual!A:B,2,FALSE)</f>
        <v>0</v>
      </c>
      <c r="C67" s="133" t="s">
        <v>1401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990</v>
      </c>
    </row>
    <row r="69" spans="1:34">
      <c r="A69" s="135">
        <v>1100001</v>
      </c>
      <c r="B69" s="133">
        <f>VLOOKUP(A:A,Multilingual!A:B,2,FALSE)</f>
        <v>0</v>
      </c>
      <c r="C69" s="133" t="s">
        <v>1401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991</v>
      </c>
    </row>
    <row r="71" spans="1:34">
      <c r="A71" s="135">
        <v>1200001</v>
      </c>
      <c r="B71" s="133">
        <f>VLOOKUP(A:A,Multilingual!A:B,2,FALSE)</f>
        <v>0</v>
      </c>
      <c r="C71" s="133" t="s">
        <v>1401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992</v>
      </c>
    </row>
    <row r="73" spans="1:34">
      <c r="A73" s="135">
        <v>1400001</v>
      </c>
      <c r="B73" s="133">
        <f>VLOOKUP(A:A,Multilingual!A:B,2,FALSE)</f>
        <v>0</v>
      </c>
      <c r="C73" s="133" t="s">
        <v>1401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848</v>
      </c>
      <c r="B1" s="126" t="s">
        <v>849</v>
      </c>
      <c r="C1" s="134" t="s">
        <v>850</v>
      </c>
      <c r="D1" s="134" t="s">
        <v>851</v>
      </c>
      <c r="E1" s="134" t="s">
        <v>852</v>
      </c>
      <c r="F1" s="134" t="s">
        <v>853</v>
      </c>
      <c r="G1" s="134" t="s">
        <v>854</v>
      </c>
      <c r="H1" s="134" t="s">
        <v>855</v>
      </c>
      <c r="I1" s="134" t="s">
        <v>856</v>
      </c>
      <c r="J1" s="134" t="s">
        <v>857</v>
      </c>
      <c r="K1" s="134" t="s">
        <v>858</v>
      </c>
      <c r="L1" s="134" t="s">
        <v>859</v>
      </c>
      <c r="M1" s="134" t="s">
        <v>860</v>
      </c>
      <c r="N1" s="134" t="s">
        <v>861</v>
      </c>
      <c r="O1" s="134" t="s">
        <v>862</v>
      </c>
      <c r="P1" s="134" t="s">
        <v>863</v>
      </c>
      <c r="Q1" s="134" t="s">
        <v>864</v>
      </c>
      <c r="R1" s="134" t="s">
        <v>865</v>
      </c>
      <c r="S1" s="134" t="s">
        <v>866</v>
      </c>
      <c r="T1" s="134" t="s">
        <v>867</v>
      </c>
      <c r="U1" s="134" t="s">
        <v>868</v>
      </c>
      <c r="V1" s="134" t="s">
        <v>869</v>
      </c>
    </row>
    <row r="2" spans="1:22" s="134" customFormat="1">
      <c r="A2" s="134" t="s">
        <v>673</v>
      </c>
      <c r="B2" s="126"/>
      <c r="C2" s="134" t="s">
        <v>870</v>
      </c>
      <c r="D2" s="134" t="s">
        <v>871</v>
      </c>
      <c r="E2" s="134" t="s">
        <v>113</v>
      </c>
      <c r="F2" s="134" t="s">
        <v>122</v>
      </c>
      <c r="G2" s="134" t="s">
        <v>114</v>
      </c>
      <c r="H2" s="134" t="s">
        <v>123</v>
      </c>
      <c r="I2" s="134" t="s">
        <v>115</v>
      </c>
      <c r="J2" s="134" t="s">
        <v>124</v>
      </c>
      <c r="K2" s="134" t="s">
        <v>116</v>
      </c>
      <c r="L2" s="134" t="s">
        <v>125</v>
      </c>
      <c r="M2" s="134" t="s">
        <v>117</v>
      </c>
      <c r="N2" s="134" t="s">
        <v>126</v>
      </c>
      <c r="O2" s="134" t="s">
        <v>118</v>
      </c>
      <c r="P2" s="134" t="s">
        <v>127</v>
      </c>
      <c r="Q2" s="134" t="s">
        <v>119</v>
      </c>
      <c r="R2" s="134" t="s">
        <v>128</v>
      </c>
      <c r="S2" s="134" t="s">
        <v>120</v>
      </c>
      <c r="T2" s="134" t="s">
        <v>129</v>
      </c>
      <c r="U2" s="134" t="s">
        <v>121</v>
      </c>
      <c r="V2" s="134" t="s">
        <v>130</v>
      </c>
    </row>
    <row r="3" spans="1:22" s="134" customFormat="1">
      <c r="A3" s="134" t="s">
        <v>15</v>
      </c>
      <c r="B3" s="126"/>
      <c r="C3" s="134" t="s">
        <v>872</v>
      </c>
      <c r="D3" s="134" t="s">
        <v>872</v>
      </c>
      <c r="E3" s="134" t="s">
        <v>872</v>
      </c>
      <c r="F3" s="134" t="s">
        <v>872</v>
      </c>
      <c r="G3" s="134" t="s">
        <v>872</v>
      </c>
      <c r="H3" s="134" t="s">
        <v>872</v>
      </c>
      <c r="I3" s="134" t="s">
        <v>872</v>
      </c>
      <c r="J3" s="134" t="s">
        <v>872</v>
      </c>
      <c r="K3" s="134" t="s">
        <v>872</v>
      </c>
      <c r="L3" s="134" t="s">
        <v>872</v>
      </c>
      <c r="M3" s="134" t="s">
        <v>872</v>
      </c>
      <c r="N3" s="134" t="s">
        <v>872</v>
      </c>
      <c r="O3" s="134" t="s">
        <v>872</v>
      </c>
      <c r="P3" s="134" t="s">
        <v>872</v>
      </c>
      <c r="Q3" s="134" t="s">
        <v>872</v>
      </c>
      <c r="R3" s="134" t="s">
        <v>872</v>
      </c>
      <c r="S3" s="134" t="s">
        <v>872</v>
      </c>
      <c r="T3" s="134" t="s">
        <v>872</v>
      </c>
      <c r="U3" s="134" t="s">
        <v>872</v>
      </c>
      <c r="V3" s="134" t="s">
        <v>872</v>
      </c>
    </row>
    <row r="4" spans="1:22" s="137" customFormat="1">
      <c r="A4" s="130" t="s">
        <v>873</v>
      </c>
      <c r="B4" s="127"/>
    </row>
    <row r="5" spans="1:22">
      <c r="A5" s="135">
        <v>1</v>
      </c>
      <c r="B5" s="133" t="s">
        <v>1297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1299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1300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1298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1302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1301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400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404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405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406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407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408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263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409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410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411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412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264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265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266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267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608</v>
      </c>
      <c r="B26" s="127"/>
    </row>
    <row r="27" spans="1:22">
      <c r="A27" s="135">
        <v>1000001</v>
      </c>
      <c r="B27" s="133" t="s">
        <v>609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610</v>
      </c>
      <c r="B28" s="127"/>
    </row>
    <row r="29" spans="1:22">
      <c r="A29" s="135">
        <v>1500001</v>
      </c>
      <c r="B29" s="133" t="s">
        <v>611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B120" sqref="B120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1126</v>
      </c>
      <c r="B1" s="116" t="s">
        <v>1127</v>
      </c>
      <c r="C1" s="134" t="s">
        <v>1128</v>
      </c>
      <c r="D1" s="134" t="s">
        <v>1129</v>
      </c>
    </row>
    <row r="2" spans="1:4" s="134" customFormat="1" ht="15.75" customHeight="1">
      <c r="A2" s="134" t="s">
        <v>1130</v>
      </c>
      <c r="B2" s="117" t="s">
        <v>1131</v>
      </c>
      <c r="C2" s="134" t="s">
        <v>1132</v>
      </c>
      <c r="D2" s="134" t="s">
        <v>1133</v>
      </c>
    </row>
    <row r="3" spans="1:4" s="134" customFormat="1">
      <c r="A3" s="134" t="s">
        <v>675</v>
      </c>
      <c r="B3" s="117" t="s">
        <v>1260</v>
      </c>
      <c r="C3" s="134" t="s">
        <v>1260</v>
      </c>
      <c r="D3" s="134" t="s">
        <v>1260</v>
      </c>
    </row>
    <row r="4" spans="1:4" s="137" customFormat="1">
      <c r="A4" s="130" t="s">
        <v>1309</v>
      </c>
      <c r="B4" s="118"/>
    </row>
    <row r="5" spans="1:4">
      <c r="A5" s="135">
        <v>1</v>
      </c>
      <c r="B5" s="115" t="s">
        <v>1303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1304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1305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1310</v>
      </c>
      <c r="B8" s="118"/>
    </row>
    <row r="9" spans="1:4">
      <c r="A9" s="135">
        <v>100001</v>
      </c>
      <c r="B9" s="129" t="s">
        <v>420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1241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421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422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423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424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1311</v>
      </c>
      <c r="B15" s="118"/>
    </row>
    <row r="16" spans="1:4">
      <c r="A16" s="135">
        <v>200001</v>
      </c>
      <c r="B16" s="129" t="s">
        <v>425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426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427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428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429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430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1312</v>
      </c>
      <c r="B22" s="118"/>
    </row>
    <row r="23" spans="1:4">
      <c r="A23" s="135">
        <v>300001</v>
      </c>
      <c r="B23" s="129" t="s">
        <v>431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432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433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434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435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436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1313</v>
      </c>
      <c r="B29" s="118"/>
    </row>
    <row r="30" spans="1:4">
      <c r="A30" s="135">
        <v>400001</v>
      </c>
      <c r="B30" s="129" t="s">
        <v>437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438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439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440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441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442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1314</v>
      </c>
      <c r="B36" s="118"/>
    </row>
    <row r="37" spans="1:4">
      <c r="A37" s="135">
        <v>500001</v>
      </c>
      <c r="B37" s="129" t="s">
        <v>443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444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445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446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447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448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1315</v>
      </c>
      <c r="B43" s="118"/>
    </row>
    <row r="44" spans="1:4">
      <c r="A44" s="135">
        <v>600001</v>
      </c>
      <c r="B44" s="129" t="s">
        <v>449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450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451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452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453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454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1316</v>
      </c>
      <c r="B50" s="118"/>
    </row>
    <row r="51" spans="1:4">
      <c r="A51" s="135">
        <v>700001</v>
      </c>
      <c r="B51" s="129" t="s">
        <v>455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456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457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458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459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460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461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462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463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464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465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466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467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1317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1318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1319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1320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1321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1322</v>
      </c>
      <c r="B74" s="118"/>
    </row>
    <row r="75" spans="1:4">
      <c r="A75" s="135">
        <v>1500001</v>
      </c>
      <c r="B75" s="115" t="s">
        <v>1134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1135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1136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1137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401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402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403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404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405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406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407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408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263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409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410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411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412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264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265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266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267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1323</v>
      </c>
      <c r="B96" s="118"/>
    </row>
    <row r="97" spans="1:4">
      <c r="A97" s="135">
        <v>2000000</v>
      </c>
      <c r="B97" s="129" t="s">
        <v>1327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1328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1324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1325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1326</v>
      </c>
      <c r="B103" s="118"/>
    </row>
    <row r="104" spans="1:4">
      <c r="A104" s="135">
        <v>3000001</v>
      </c>
      <c r="B104" s="115" t="s">
        <v>1138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1139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1140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1141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1142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1143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1144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1145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1146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1147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1148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1149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1150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1151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1152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1153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1154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1155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92D050"/>
  </sheetPr>
  <dimension ref="A1:F247"/>
  <sheetViews>
    <sheetView workbookViewId="0">
      <selection activeCell="G28" sqref="G28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848</v>
      </c>
      <c r="B1" s="205" t="s">
        <v>1407</v>
      </c>
      <c r="C1" s="134" t="s">
        <v>1394</v>
      </c>
      <c r="D1" s="134" t="s">
        <v>1381</v>
      </c>
      <c r="E1" s="134" t="s">
        <v>1380</v>
      </c>
      <c r="F1" s="200" t="s">
        <v>1428</v>
      </c>
    </row>
    <row r="2" spans="1:6" s="195" customFormat="1">
      <c r="A2" s="134" t="s">
        <v>1130</v>
      </c>
      <c r="B2" s="206" t="s">
        <v>1408</v>
      </c>
      <c r="C2" s="134" t="s">
        <v>1409</v>
      </c>
      <c r="D2" s="134" t="s">
        <v>1410</v>
      </c>
      <c r="E2" s="134" t="s">
        <v>1411</v>
      </c>
      <c r="F2" s="200"/>
    </row>
    <row r="3" spans="1:6" s="195" customFormat="1">
      <c r="A3" s="134" t="s">
        <v>675</v>
      </c>
      <c r="B3" s="206" t="s">
        <v>1397</v>
      </c>
      <c r="C3" s="134" t="s">
        <v>1397</v>
      </c>
      <c r="D3" s="134" t="s">
        <v>1258</v>
      </c>
      <c r="E3" s="134" t="s">
        <v>1258</v>
      </c>
      <c r="F3" s="200"/>
    </row>
    <row r="4" spans="1:6" s="198" customFormat="1">
      <c r="A4" s="197" t="s">
        <v>1412</v>
      </c>
      <c r="B4" s="203"/>
      <c r="C4" s="197"/>
      <c r="D4" s="197"/>
      <c r="E4" s="197"/>
      <c r="F4" s="201"/>
    </row>
    <row r="5" spans="1:6" s="198" customFormat="1">
      <c r="A5" s="197" t="s">
        <v>1426</v>
      </c>
      <c r="B5" s="203"/>
      <c r="C5" s="197"/>
      <c r="D5" s="197"/>
      <c r="E5" s="197"/>
      <c r="F5" s="201"/>
    </row>
    <row r="6" spans="1:6" s="198" customFormat="1">
      <c r="A6" s="197" t="s">
        <v>1427</v>
      </c>
      <c r="B6" s="203"/>
      <c r="C6" s="197"/>
      <c r="D6" s="197"/>
      <c r="E6" s="197"/>
      <c r="F6" s="201"/>
    </row>
    <row r="7" spans="1:6" s="198" customFormat="1">
      <c r="A7" s="197" t="s">
        <v>1445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1413</v>
      </c>
      <c r="C8" s="135" t="s">
        <v>1395</v>
      </c>
      <c r="D8" s="135" t="s">
        <v>1403</v>
      </c>
      <c r="E8" s="135" t="s">
        <v>1379</v>
      </c>
      <c r="F8" s="202" t="str">
        <f>IF(A8="","","-")</f>
        <v>-</v>
      </c>
    </row>
    <row r="9" spans="1:6">
      <c r="A9" s="135">
        <f>A8+1</f>
        <v>2</v>
      </c>
      <c r="B9" s="204" t="s">
        <v>1414</v>
      </c>
      <c r="C9" s="135" t="s">
        <v>1396</v>
      </c>
      <c r="D9" s="135" t="s">
        <v>1404</v>
      </c>
      <c r="E9" s="135" t="s">
        <v>1382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1415</v>
      </c>
      <c r="C10" s="135" t="s">
        <v>1402</v>
      </c>
      <c r="D10" s="135" t="s">
        <v>1390</v>
      </c>
      <c r="E10" s="135" t="s">
        <v>1383</v>
      </c>
      <c r="F10" s="202" t="str">
        <f t="shared" si="0"/>
        <v>-</v>
      </c>
    </row>
    <row r="11" spans="1:6">
      <c r="A11" s="135">
        <f t="shared" si="1"/>
        <v>4</v>
      </c>
      <c r="B11" s="204" t="s">
        <v>1416</v>
      </c>
      <c r="E11" s="135" t="s">
        <v>1384</v>
      </c>
      <c r="F11" s="202" t="str">
        <f t="shared" si="0"/>
        <v>-</v>
      </c>
    </row>
    <row r="12" spans="1:6">
      <c r="A12" s="135">
        <f t="shared" si="1"/>
        <v>5</v>
      </c>
      <c r="B12" s="204" t="s">
        <v>1417</v>
      </c>
      <c r="E12" s="135" t="s">
        <v>1385</v>
      </c>
      <c r="F12" s="202" t="str">
        <f t="shared" si="0"/>
        <v>-</v>
      </c>
    </row>
    <row r="13" spans="1:6">
      <c r="A13" s="135">
        <f t="shared" si="1"/>
        <v>6</v>
      </c>
      <c r="B13" s="204" t="s">
        <v>1418</v>
      </c>
      <c r="E13" s="135" t="s">
        <v>1386</v>
      </c>
      <c r="F13" s="202" t="str">
        <f t="shared" si="0"/>
        <v>-</v>
      </c>
    </row>
    <row r="14" spans="1:6">
      <c r="A14" s="135">
        <f>A13+1</f>
        <v>7</v>
      </c>
      <c r="B14" s="204" t="s">
        <v>1419</v>
      </c>
      <c r="E14" s="135" t="s">
        <v>1387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1420</v>
      </c>
      <c r="E15" s="135" t="s">
        <v>1388</v>
      </c>
      <c r="F15" s="202" t="str">
        <f t="shared" si="0"/>
        <v>-</v>
      </c>
    </row>
    <row r="16" spans="1:6">
      <c r="A16" s="135">
        <f t="shared" si="2"/>
        <v>9</v>
      </c>
      <c r="B16" s="204" t="s">
        <v>1421</v>
      </c>
      <c r="E16" s="135" t="s">
        <v>1405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1422</v>
      </c>
      <c r="E17" s="135" t="s">
        <v>1389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1423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1424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1425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1443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1444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94</v>
      </c>
      <c r="B1" s="134" t="s">
        <v>1358</v>
      </c>
      <c r="C1" s="134" t="s">
        <v>1359</v>
      </c>
      <c r="D1" s="116" t="s">
        <v>1360</v>
      </c>
      <c r="E1" s="134" t="s">
        <v>1361</v>
      </c>
      <c r="F1" s="200" t="s">
        <v>1428</v>
      </c>
    </row>
    <row r="2" spans="1:6" s="134" customFormat="1">
      <c r="A2" s="134" t="s">
        <v>95</v>
      </c>
      <c r="B2" s="134" t="s">
        <v>1362</v>
      </c>
      <c r="C2" s="134" t="s">
        <v>1363</v>
      </c>
      <c r="D2" s="117" t="s">
        <v>1364</v>
      </c>
      <c r="E2" s="134" t="s">
        <v>1365</v>
      </c>
      <c r="F2" s="200"/>
    </row>
    <row r="3" spans="1:6" s="134" customFormat="1">
      <c r="A3" s="134" t="s">
        <v>15</v>
      </c>
      <c r="B3" s="117" t="s">
        <v>1366</v>
      </c>
      <c r="C3" s="117" t="s">
        <v>1366</v>
      </c>
      <c r="D3" s="117" t="s">
        <v>1366</v>
      </c>
      <c r="E3" s="134" t="s">
        <v>1366</v>
      </c>
      <c r="F3" s="200"/>
    </row>
    <row r="4" spans="1:6" s="118" customFormat="1">
      <c r="A4" s="118" t="s">
        <v>874</v>
      </c>
    </row>
    <row r="5" spans="1:6">
      <c r="A5" s="135">
        <v>1</v>
      </c>
      <c r="B5" s="129" t="s">
        <v>1225</v>
      </c>
      <c r="C5" s="129" t="s">
        <v>1367</v>
      </c>
      <c r="D5" s="1">
        <f>ROUND(테이블_규칙!D3,3)</f>
        <v>0.32200000000000001</v>
      </c>
      <c r="E5" s="129" t="s">
        <v>875</v>
      </c>
      <c r="F5" s="202" t="str">
        <f t="shared" ref="F5:F53" si="0">IF(A5="","","-")</f>
        <v>-</v>
      </c>
    </row>
    <row r="6" spans="1:6" s="118" customFormat="1">
      <c r="A6" s="118" t="s">
        <v>876</v>
      </c>
    </row>
    <row r="7" spans="1:6">
      <c r="A7" s="135">
        <v>2</v>
      </c>
      <c r="B7" s="135" t="s">
        <v>15</v>
      </c>
      <c r="C7" s="135" t="s">
        <v>1368</v>
      </c>
      <c r="D7" s="135">
        <v>1</v>
      </c>
      <c r="E7" s="135" t="s">
        <v>877</v>
      </c>
      <c r="F7" s="202" t="str">
        <f t="shared" si="0"/>
        <v>-</v>
      </c>
    </row>
    <row r="8" spans="1:6" s="118" customFormat="1">
      <c r="A8" s="118" t="s">
        <v>878</v>
      </c>
    </row>
    <row r="9" spans="1:6">
      <c r="A9" s="135">
        <v>100</v>
      </c>
      <c r="B9" s="135" t="s">
        <v>15</v>
      </c>
      <c r="C9" s="135" t="s">
        <v>1369</v>
      </c>
      <c r="D9" s="135">
        <v>0</v>
      </c>
      <c r="E9" s="135" t="s">
        <v>879</v>
      </c>
      <c r="F9" s="202" t="str">
        <f t="shared" si="0"/>
        <v>-</v>
      </c>
    </row>
    <row r="10" spans="1:6" s="118" customFormat="1">
      <c r="A10" s="118" t="s">
        <v>880</v>
      </c>
      <c r="B10" s="127"/>
      <c r="C10" s="127"/>
      <c r="E10" s="127"/>
    </row>
    <row r="11" spans="1:6" s="207" customFormat="1">
      <c r="A11" s="207">
        <v>101</v>
      </c>
      <c r="B11" s="208" t="s">
        <v>1430</v>
      </c>
      <c r="C11" s="208" t="s">
        <v>1436</v>
      </c>
      <c r="E11" s="209" t="s">
        <v>1432</v>
      </c>
      <c r="F11" s="210" t="str">
        <f t="shared" si="0"/>
        <v>-</v>
      </c>
    </row>
    <row r="12" spans="1:6">
      <c r="A12" s="135">
        <f>A11+1</f>
        <v>102</v>
      </c>
      <c r="B12" s="196" t="s">
        <v>15</v>
      </c>
      <c r="C12" s="196" t="s">
        <v>1437</v>
      </c>
      <c r="D12" s="135">
        <v>10</v>
      </c>
      <c r="E12" s="115" t="s">
        <v>1453</v>
      </c>
      <c r="F12" s="202" t="str">
        <f t="shared" si="0"/>
        <v>-</v>
      </c>
    </row>
    <row r="13" spans="1:6">
      <c r="A13" s="135">
        <f>A12+1</f>
        <v>103</v>
      </c>
      <c r="B13" s="196" t="s">
        <v>15</v>
      </c>
      <c r="C13" s="196" t="s">
        <v>1438</v>
      </c>
      <c r="D13" s="135">
        <v>10</v>
      </c>
      <c r="E13" s="115" t="s">
        <v>1454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15</v>
      </c>
      <c r="C14" s="196" t="s">
        <v>1439</v>
      </c>
      <c r="D14" s="135">
        <v>20</v>
      </c>
      <c r="E14" s="115" t="s">
        <v>1455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15</v>
      </c>
      <c r="C15" s="196" t="s">
        <v>1440</v>
      </c>
      <c r="D15" s="135">
        <v>50</v>
      </c>
      <c r="E15" s="115" t="s">
        <v>1433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15</v>
      </c>
      <c r="C16" s="196" t="s">
        <v>1441</v>
      </c>
      <c r="D16" s="135">
        <v>100</v>
      </c>
      <c r="E16" s="115" t="s">
        <v>1434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15</v>
      </c>
      <c r="C17" s="196" t="s">
        <v>1441</v>
      </c>
      <c r="D17" s="135">
        <v>100</v>
      </c>
      <c r="E17" s="115" t="s">
        <v>1435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1431</v>
      </c>
      <c r="C18" s="208"/>
      <c r="E18" s="209"/>
      <c r="F18" s="210" t="str">
        <f t="shared" si="0"/>
        <v>-</v>
      </c>
    </row>
    <row r="19" spans="1:6" s="118" customFormat="1">
      <c r="A19" s="118" t="s">
        <v>881</v>
      </c>
    </row>
    <row r="20" spans="1:6" s="118" customFormat="1">
      <c r="A20" s="118" t="s">
        <v>882</v>
      </c>
    </row>
    <row r="21" spans="1:6">
      <c r="A21" s="135">
        <v>1101</v>
      </c>
      <c r="B21" s="115" t="s">
        <v>1366</v>
      </c>
      <c r="C21" s="115" t="s">
        <v>1370</v>
      </c>
      <c r="D21" s="135" t="s">
        <v>1373</v>
      </c>
      <c r="E21" s="115" t="s">
        <v>883</v>
      </c>
      <c r="F21" s="202" t="str">
        <f t="shared" si="0"/>
        <v>-</v>
      </c>
    </row>
    <row r="22" spans="1:6">
      <c r="A22" s="135">
        <v>1102</v>
      </c>
      <c r="B22" s="115" t="s">
        <v>1366</v>
      </c>
      <c r="C22" s="115" t="s">
        <v>1371</v>
      </c>
      <c r="D22" s="135" t="s">
        <v>1374</v>
      </c>
      <c r="E22" s="115" t="s">
        <v>884</v>
      </c>
      <c r="F22" s="202" t="str">
        <f t="shared" si="0"/>
        <v>-</v>
      </c>
    </row>
    <row r="23" spans="1:6">
      <c r="A23" s="135">
        <v>1103</v>
      </c>
      <c r="B23" s="115" t="s">
        <v>1366</v>
      </c>
      <c r="C23" s="115" t="s">
        <v>1372</v>
      </c>
      <c r="D23" s="135" t="s">
        <v>1375</v>
      </c>
      <c r="E23" s="115" t="s">
        <v>885</v>
      </c>
      <c r="F23" s="202" t="str">
        <f t="shared" si="0"/>
        <v>-</v>
      </c>
    </row>
    <row r="24" spans="1:6" s="118" customFormat="1">
      <c r="A24" s="118" t="s">
        <v>1376</v>
      </c>
    </row>
    <row r="25" spans="1:6">
      <c r="A25" s="135">
        <f>A23+200</f>
        <v>1303</v>
      </c>
      <c r="B25" s="115" t="s">
        <v>15</v>
      </c>
      <c r="C25" s="135" t="s">
        <v>1377</v>
      </c>
      <c r="D25" s="133">
        <v>2</v>
      </c>
      <c r="E25" s="135" t="s">
        <v>1378</v>
      </c>
      <c r="F25" s="202" t="str">
        <f t="shared" si="0"/>
        <v>-</v>
      </c>
    </row>
    <row r="26" spans="1:6" s="118" customFormat="1">
      <c r="A26" s="118" t="s">
        <v>1446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1430</v>
      </c>
      <c r="C27" s="208" t="s">
        <v>1447</v>
      </c>
      <c r="E27" s="209" t="s">
        <v>1432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15</v>
      </c>
      <c r="C28" s="196" t="s">
        <v>1448</v>
      </c>
      <c r="D28" s="135">
        <v>300</v>
      </c>
      <c r="E28" s="115" t="s">
        <v>1450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1449</v>
      </c>
      <c r="C29" s="135" t="s">
        <v>1451</v>
      </c>
      <c r="D29" s="133">
        <v>30</v>
      </c>
      <c r="E29" s="135" t="s">
        <v>1452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1431</v>
      </c>
      <c r="C30" s="208" t="s">
        <v>1447</v>
      </c>
      <c r="E30" s="209" t="s">
        <v>1432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Tag!$B$8:$B$22</xm:f>
          </x14:formula1>
          <xm:sqref>B5:B28 B30</xm:sqref>
        </x14:dataValidation>
        <x14:dataValidation type="list" allowBlank="1" showInputMessage="1" showErrorMessage="1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915</v>
      </c>
      <c r="B1" s="134" t="s">
        <v>916</v>
      </c>
      <c r="C1" s="134" t="s">
        <v>917</v>
      </c>
      <c r="D1" s="126" t="s">
        <v>918</v>
      </c>
      <c r="E1" s="134" t="s">
        <v>919</v>
      </c>
      <c r="F1" s="134" t="s">
        <v>920</v>
      </c>
      <c r="G1" s="134" t="s">
        <v>231</v>
      </c>
      <c r="H1" s="126" t="s">
        <v>918</v>
      </c>
      <c r="I1" s="134" t="s">
        <v>921</v>
      </c>
      <c r="J1" s="134" t="s">
        <v>232</v>
      </c>
      <c r="K1" s="134" t="s">
        <v>233</v>
      </c>
      <c r="L1" s="126" t="s">
        <v>918</v>
      </c>
      <c r="M1" s="134" t="s">
        <v>922</v>
      </c>
      <c r="N1" s="134" t="s">
        <v>234</v>
      </c>
      <c r="O1" s="134" t="s">
        <v>235</v>
      </c>
      <c r="P1" s="126" t="s">
        <v>918</v>
      </c>
      <c r="Q1" s="134" t="s">
        <v>923</v>
      </c>
      <c r="R1" s="134" t="s">
        <v>236</v>
      </c>
      <c r="S1" s="134" t="s">
        <v>237</v>
      </c>
      <c r="T1" s="126" t="s">
        <v>918</v>
      </c>
      <c r="U1" s="134" t="s">
        <v>924</v>
      </c>
      <c r="V1" s="134" t="s">
        <v>238</v>
      </c>
      <c r="W1" s="134" t="s">
        <v>925</v>
      </c>
      <c r="X1" s="126" t="s">
        <v>918</v>
      </c>
      <c r="Y1" s="134" t="s">
        <v>926</v>
      </c>
      <c r="Z1" s="138" t="s">
        <v>927</v>
      </c>
    </row>
    <row r="2" spans="1:26" s="134" customFormat="1">
      <c r="A2" s="134" t="s">
        <v>928</v>
      </c>
      <c r="B2" s="134" t="s">
        <v>929</v>
      </c>
      <c r="C2" s="134" t="s">
        <v>930</v>
      </c>
      <c r="D2" s="126"/>
      <c r="E2" s="134" t="s">
        <v>931</v>
      </c>
      <c r="F2" s="134" t="s">
        <v>932</v>
      </c>
      <c r="G2" s="134" t="s">
        <v>239</v>
      </c>
      <c r="H2" s="126"/>
      <c r="I2" s="134" t="s">
        <v>933</v>
      </c>
      <c r="J2" s="134" t="s">
        <v>240</v>
      </c>
      <c r="K2" s="134" t="s">
        <v>241</v>
      </c>
      <c r="L2" s="126"/>
      <c r="M2" s="134" t="s">
        <v>934</v>
      </c>
      <c r="N2" s="134" t="s">
        <v>242</v>
      </c>
      <c r="O2" s="134" t="s">
        <v>243</v>
      </c>
      <c r="P2" s="126"/>
      <c r="Q2" s="134" t="s">
        <v>935</v>
      </c>
      <c r="R2" s="134" t="s">
        <v>244</v>
      </c>
      <c r="S2" s="134" t="s">
        <v>245</v>
      </c>
      <c r="T2" s="126"/>
      <c r="U2" s="134" t="s">
        <v>936</v>
      </c>
      <c r="V2" s="134" t="s">
        <v>246</v>
      </c>
      <c r="W2" s="134" t="s">
        <v>937</v>
      </c>
      <c r="X2" s="126"/>
      <c r="Y2" s="134" t="s">
        <v>938</v>
      </c>
      <c r="Z2" s="139" t="s">
        <v>939</v>
      </c>
    </row>
    <row r="3" spans="1:26" s="134" customFormat="1">
      <c r="A3" s="134" t="s">
        <v>15</v>
      </c>
      <c r="B3" s="134" t="s">
        <v>1352</v>
      </c>
      <c r="C3" s="134" t="s">
        <v>15</v>
      </c>
      <c r="D3" s="126"/>
      <c r="E3" s="134" t="s">
        <v>15</v>
      </c>
      <c r="F3" s="134" t="s">
        <v>1352</v>
      </c>
      <c r="G3" s="134" t="s">
        <v>15</v>
      </c>
      <c r="H3" s="126"/>
      <c r="I3" s="134" t="s">
        <v>15</v>
      </c>
      <c r="J3" s="134" t="s">
        <v>1352</v>
      </c>
      <c r="K3" s="134" t="s">
        <v>15</v>
      </c>
      <c r="L3" s="126"/>
      <c r="M3" s="134" t="s">
        <v>15</v>
      </c>
      <c r="N3" s="134" t="s">
        <v>1352</v>
      </c>
      <c r="O3" s="134" t="s">
        <v>15</v>
      </c>
      <c r="P3" s="126"/>
      <c r="Q3" s="134" t="s">
        <v>15</v>
      </c>
      <c r="R3" s="134" t="s">
        <v>1352</v>
      </c>
      <c r="S3" s="134" t="s">
        <v>15</v>
      </c>
      <c r="T3" s="126"/>
      <c r="U3" s="134" t="s">
        <v>15</v>
      </c>
      <c r="V3" s="134" t="s">
        <v>1352</v>
      </c>
      <c r="W3" s="134" t="s">
        <v>15</v>
      </c>
      <c r="X3" s="126"/>
      <c r="Y3" s="134" t="s">
        <v>1352</v>
      </c>
      <c r="Z3" s="139" t="s">
        <v>1353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545</v>
      </c>
      <c r="B1" s="134" t="s">
        <v>612</v>
      </c>
      <c r="C1" s="134" t="s">
        <v>993</v>
      </c>
      <c r="D1" s="126" t="s">
        <v>994</v>
      </c>
      <c r="E1" s="134" t="s">
        <v>995</v>
      </c>
      <c r="F1" s="134" t="s">
        <v>996</v>
      </c>
      <c r="G1" s="134" t="s">
        <v>615</v>
      </c>
      <c r="H1" s="134" t="s">
        <v>616</v>
      </c>
      <c r="I1" s="134" t="s">
        <v>617</v>
      </c>
      <c r="J1" s="134" t="s">
        <v>618</v>
      </c>
    </row>
    <row r="2" spans="1:10" s="134" customFormat="1">
      <c r="A2" s="134" t="s">
        <v>673</v>
      </c>
      <c r="B2" s="134" t="s">
        <v>966</v>
      </c>
      <c r="C2" s="134" t="s">
        <v>997</v>
      </c>
      <c r="D2" s="126"/>
      <c r="E2" s="134" t="s">
        <v>998</v>
      </c>
      <c r="F2" s="134" t="s">
        <v>999</v>
      </c>
      <c r="G2" s="134" t="s">
        <v>619</v>
      </c>
      <c r="H2" s="134" t="s">
        <v>620</v>
      </c>
      <c r="I2" s="134" t="s">
        <v>621</v>
      </c>
      <c r="J2" s="134" t="s">
        <v>622</v>
      </c>
    </row>
    <row r="3" spans="1:10" s="134" customFormat="1">
      <c r="A3" s="134" t="s">
        <v>15</v>
      </c>
      <c r="B3" s="134" t="s">
        <v>15</v>
      </c>
      <c r="C3" s="134" t="s">
        <v>15</v>
      </c>
      <c r="D3" s="126"/>
      <c r="E3" s="134" t="s">
        <v>15</v>
      </c>
      <c r="F3" s="134" t="s">
        <v>15</v>
      </c>
      <c r="G3" s="134" t="s">
        <v>15</v>
      </c>
      <c r="H3" s="134" t="s">
        <v>15</v>
      </c>
      <c r="I3" s="134" t="s">
        <v>15</v>
      </c>
      <c r="J3" s="134" t="s">
        <v>15</v>
      </c>
    </row>
    <row r="4" spans="1:10" s="137" customFormat="1">
      <c r="A4" s="130" t="s">
        <v>1000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623</v>
      </c>
      <c r="B1" s="143" t="s">
        <v>1001</v>
      </c>
      <c r="C1" s="126" t="s">
        <v>624</v>
      </c>
      <c r="D1" s="143" t="s">
        <v>1002</v>
      </c>
      <c r="E1" s="143" t="s">
        <v>1003</v>
      </c>
      <c r="F1" s="143" t="s">
        <v>625</v>
      </c>
      <c r="G1" s="143" t="s">
        <v>626</v>
      </c>
      <c r="H1" s="143" t="s">
        <v>627</v>
      </c>
      <c r="I1" s="143" t="s">
        <v>628</v>
      </c>
      <c r="J1" s="143" t="s">
        <v>629</v>
      </c>
      <c r="K1" s="143" t="s">
        <v>1004</v>
      </c>
      <c r="L1" s="143" t="s">
        <v>1005</v>
      </c>
      <c r="M1" s="143" t="s">
        <v>1006</v>
      </c>
      <c r="N1" s="143" t="s">
        <v>1007</v>
      </c>
      <c r="O1" s="143" t="s">
        <v>1008</v>
      </c>
      <c r="P1" s="143" t="s">
        <v>1009</v>
      </c>
      <c r="Q1" s="143" t="s">
        <v>1010</v>
      </c>
      <c r="R1" s="143" t="s">
        <v>1011</v>
      </c>
      <c r="S1" s="143" t="s">
        <v>1012</v>
      </c>
      <c r="T1" s="143" t="s">
        <v>1013</v>
      </c>
      <c r="U1" s="143" t="s">
        <v>1014</v>
      </c>
      <c r="V1" s="143" t="s">
        <v>1015</v>
      </c>
      <c r="W1" s="143" t="s">
        <v>1016</v>
      </c>
      <c r="X1" s="143" t="s">
        <v>1017</v>
      </c>
      <c r="Y1" s="143" t="s">
        <v>1018</v>
      </c>
      <c r="Z1" s="143" t="s">
        <v>1019</v>
      </c>
      <c r="AA1" s="143" t="s">
        <v>516</v>
      </c>
      <c r="AB1" s="143" t="s">
        <v>517</v>
      </c>
      <c r="AC1" s="143" t="s">
        <v>1020</v>
      </c>
      <c r="AD1" s="143" t="s">
        <v>1021</v>
      </c>
      <c r="AE1" s="143" t="s">
        <v>1022</v>
      </c>
      <c r="AF1" s="143" t="s">
        <v>1023</v>
      </c>
      <c r="AG1" s="143" t="s">
        <v>518</v>
      </c>
      <c r="AH1" s="143" t="s">
        <v>519</v>
      </c>
      <c r="AI1" s="143" t="s">
        <v>1024</v>
      </c>
      <c r="AJ1" s="143" t="s">
        <v>1025</v>
      </c>
      <c r="AK1" s="143" t="s">
        <v>1026</v>
      </c>
      <c r="AL1" s="143" t="s">
        <v>520</v>
      </c>
      <c r="AM1" s="143" t="s">
        <v>1027</v>
      </c>
      <c r="AN1" s="143" t="s">
        <v>1028</v>
      </c>
      <c r="AO1" s="143" t="s">
        <v>1029</v>
      </c>
      <c r="AP1" s="143" t="s">
        <v>1030</v>
      </c>
      <c r="AQ1" s="143" t="s">
        <v>630</v>
      </c>
      <c r="AR1" s="143" t="s">
        <v>631</v>
      </c>
      <c r="AS1" s="143" t="s">
        <v>1031</v>
      </c>
      <c r="AT1" s="143" t="s">
        <v>1032</v>
      </c>
      <c r="AU1" s="143" t="s">
        <v>1033</v>
      </c>
      <c r="AV1" s="143" t="s">
        <v>1034</v>
      </c>
      <c r="AW1" s="143" t="s">
        <v>1035</v>
      </c>
      <c r="AX1" s="143" t="s">
        <v>521</v>
      </c>
      <c r="AY1" s="143" t="s">
        <v>522</v>
      </c>
      <c r="AZ1" s="143" t="s">
        <v>523</v>
      </c>
      <c r="BA1" s="143" t="s">
        <v>524</v>
      </c>
      <c r="BB1" s="143" t="s">
        <v>525</v>
      </c>
      <c r="BC1" s="143" t="s">
        <v>526</v>
      </c>
      <c r="BD1" s="143" t="s">
        <v>527</v>
      </c>
      <c r="BE1" s="143" t="s">
        <v>528</v>
      </c>
      <c r="BF1" s="143" t="s">
        <v>529</v>
      </c>
      <c r="BG1" s="143" t="s">
        <v>530</v>
      </c>
      <c r="BH1" s="143" t="s">
        <v>1036</v>
      </c>
      <c r="BI1" s="143" t="s">
        <v>1037</v>
      </c>
      <c r="BJ1" s="143" t="s">
        <v>1038</v>
      </c>
      <c r="BK1" s="143" t="s">
        <v>1039</v>
      </c>
      <c r="BL1" s="143" t="s">
        <v>1040</v>
      </c>
      <c r="BM1" s="143" t="s">
        <v>1041</v>
      </c>
      <c r="BN1" s="143" t="s">
        <v>1042</v>
      </c>
      <c r="BO1" s="143" t="s">
        <v>1043</v>
      </c>
      <c r="BP1" s="143" t="s">
        <v>1044</v>
      </c>
      <c r="BQ1" s="143" t="s">
        <v>1045</v>
      </c>
      <c r="BR1" s="143" t="s">
        <v>1046</v>
      </c>
      <c r="BS1" s="143" t="s">
        <v>1047</v>
      </c>
      <c r="BT1" s="143" t="s">
        <v>1048</v>
      </c>
      <c r="BU1" s="143" t="s">
        <v>1049</v>
      </c>
      <c r="BV1" s="143" t="s">
        <v>1050</v>
      </c>
      <c r="BW1" s="143" t="s">
        <v>1051</v>
      </c>
      <c r="BX1" s="143" t="s">
        <v>1052</v>
      </c>
      <c r="BY1" s="143" t="s">
        <v>1053</v>
      </c>
      <c r="BZ1" s="143" t="s">
        <v>1054</v>
      </c>
    </row>
    <row r="2" spans="1:78" s="143" customFormat="1">
      <c r="A2" s="143" t="s">
        <v>1055</v>
      </c>
      <c r="B2" s="143" t="s">
        <v>1056</v>
      </c>
      <c r="C2" s="126"/>
      <c r="D2" s="143" t="s">
        <v>531</v>
      </c>
      <c r="E2" s="143" t="s">
        <v>1057</v>
      </c>
      <c r="F2" s="143" t="s">
        <v>216</v>
      </c>
      <c r="G2" s="143" t="s">
        <v>221</v>
      </c>
      <c r="H2" s="143" t="s">
        <v>222</v>
      </c>
      <c r="I2" s="143" t="s">
        <v>223</v>
      </c>
      <c r="J2" s="143" t="s">
        <v>1058</v>
      </c>
      <c r="K2" s="143" t="s">
        <v>1059</v>
      </c>
      <c r="L2" s="143" t="s">
        <v>1060</v>
      </c>
      <c r="M2" s="143" t="s">
        <v>1061</v>
      </c>
      <c r="N2" s="143" t="s">
        <v>1062</v>
      </c>
      <c r="O2" s="143" t="s">
        <v>1063</v>
      </c>
      <c r="P2" s="143" t="s">
        <v>314</v>
      </c>
      <c r="Q2" s="143" t="s">
        <v>315</v>
      </c>
      <c r="R2" s="143" t="s">
        <v>316</v>
      </c>
      <c r="S2" s="143" t="s">
        <v>1064</v>
      </c>
      <c r="T2" s="143" t="s">
        <v>225</v>
      </c>
      <c r="U2" s="143" t="s">
        <v>224</v>
      </c>
      <c r="V2" s="143" t="s">
        <v>532</v>
      </c>
      <c r="W2" s="143" t="s">
        <v>226</v>
      </c>
      <c r="X2" s="143" t="s">
        <v>1065</v>
      </c>
      <c r="Y2" s="143" t="s">
        <v>1066</v>
      </c>
      <c r="Z2" s="143" t="s">
        <v>533</v>
      </c>
      <c r="AA2" s="143" t="s">
        <v>1067</v>
      </c>
      <c r="AB2" s="143" t="s">
        <v>1068</v>
      </c>
      <c r="AC2" s="143" t="s">
        <v>1069</v>
      </c>
      <c r="AD2" s="143" t="s">
        <v>1070</v>
      </c>
      <c r="AE2" s="143" t="s">
        <v>1071</v>
      </c>
      <c r="AF2" s="143" t="s">
        <v>1072</v>
      </c>
      <c r="AG2" s="143" t="s">
        <v>534</v>
      </c>
      <c r="AH2" s="143" t="s">
        <v>535</v>
      </c>
      <c r="AI2" s="143" t="s">
        <v>1073</v>
      </c>
      <c r="AJ2" s="143" t="s">
        <v>1074</v>
      </c>
      <c r="AK2" s="143" t="s">
        <v>1075</v>
      </c>
      <c r="AL2" s="143" t="s">
        <v>1076</v>
      </c>
      <c r="AM2" s="143" t="s">
        <v>1077</v>
      </c>
      <c r="AN2" s="143" t="s">
        <v>1078</v>
      </c>
      <c r="AO2" s="143" t="s">
        <v>1079</v>
      </c>
      <c r="AP2" s="143" t="s">
        <v>1080</v>
      </c>
      <c r="AQ2" s="143" t="s">
        <v>632</v>
      </c>
      <c r="AR2" s="143" t="s">
        <v>633</v>
      </c>
      <c r="AS2" s="143" t="s">
        <v>1081</v>
      </c>
      <c r="AT2" s="143" t="s">
        <v>1082</v>
      </c>
      <c r="AU2" s="143" t="s">
        <v>1083</v>
      </c>
      <c r="AV2" s="143" t="s">
        <v>1084</v>
      </c>
      <c r="AW2" s="143" t="s">
        <v>1085</v>
      </c>
      <c r="AX2" s="143" t="s">
        <v>1086</v>
      </c>
      <c r="AY2" s="143" t="s">
        <v>1087</v>
      </c>
      <c r="AZ2" s="143" t="s">
        <v>1088</v>
      </c>
      <c r="BA2" s="143" t="s">
        <v>1089</v>
      </c>
      <c r="BB2" s="143" t="s">
        <v>1090</v>
      </c>
      <c r="BC2" s="143" t="s">
        <v>1091</v>
      </c>
      <c r="BD2" s="143" t="s">
        <v>1092</v>
      </c>
      <c r="BE2" s="143" t="s">
        <v>1093</v>
      </c>
      <c r="BF2" s="143" t="s">
        <v>1094</v>
      </c>
      <c r="BG2" s="143" t="s">
        <v>1095</v>
      </c>
      <c r="BH2" s="143" t="s">
        <v>1096</v>
      </c>
      <c r="BI2" s="143" t="s">
        <v>1097</v>
      </c>
      <c r="BJ2" s="143" t="s">
        <v>1098</v>
      </c>
      <c r="BK2" s="143" t="s">
        <v>1099</v>
      </c>
      <c r="BL2" s="143" t="s">
        <v>1100</v>
      </c>
      <c r="BM2" s="143" t="s">
        <v>1101</v>
      </c>
      <c r="BN2" s="143" t="s">
        <v>1102</v>
      </c>
      <c r="BO2" s="143" t="s">
        <v>1103</v>
      </c>
      <c r="BP2" s="143" t="s">
        <v>1104</v>
      </c>
      <c r="BQ2" s="143" t="s">
        <v>1105</v>
      </c>
      <c r="BR2" s="143" t="s">
        <v>1106</v>
      </c>
      <c r="BS2" s="143" t="s">
        <v>1107</v>
      </c>
      <c r="BT2" s="143" t="s">
        <v>1108</v>
      </c>
      <c r="BU2" s="143" t="s">
        <v>1109</v>
      </c>
      <c r="BV2" s="143" t="s">
        <v>1110</v>
      </c>
      <c r="BW2" s="143" t="s">
        <v>1111</v>
      </c>
      <c r="BX2" s="143" t="s">
        <v>1112</v>
      </c>
      <c r="BY2" s="143" t="s">
        <v>1113</v>
      </c>
      <c r="BZ2" s="143" t="s">
        <v>1114</v>
      </c>
    </row>
    <row r="3" spans="1:78" s="143" customFormat="1">
      <c r="A3" s="143" t="s">
        <v>1115</v>
      </c>
      <c r="B3" s="143" t="s">
        <v>1115</v>
      </c>
      <c r="C3" s="126"/>
      <c r="D3" s="143" t="s">
        <v>1116</v>
      </c>
      <c r="E3" s="143" t="s">
        <v>1116</v>
      </c>
      <c r="F3" s="143" t="s">
        <v>1115</v>
      </c>
      <c r="G3" s="143" t="s">
        <v>1115</v>
      </c>
      <c r="H3" s="143" t="s">
        <v>1354</v>
      </c>
      <c r="I3" s="143" t="s">
        <v>1115</v>
      </c>
      <c r="J3" s="143" t="s">
        <v>1116</v>
      </c>
      <c r="K3" s="143" t="s">
        <v>1115</v>
      </c>
      <c r="L3" s="143" t="s">
        <v>1115</v>
      </c>
      <c r="M3" s="143" t="s">
        <v>1115</v>
      </c>
      <c r="N3" s="143" t="s">
        <v>1115</v>
      </c>
      <c r="O3" s="143" t="s">
        <v>1115</v>
      </c>
      <c r="P3" s="143" t="s">
        <v>1116</v>
      </c>
      <c r="Q3" s="143" t="s">
        <v>1116</v>
      </c>
      <c r="R3" s="143" t="s">
        <v>1116</v>
      </c>
      <c r="S3" s="143" t="s">
        <v>1115</v>
      </c>
      <c r="T3" s="143" t="s">
        <v>1115</v>
      </c>
      <c r="U3" s="143" t="s">
        <v>1115</v>
      </c>
      <c r="V3" s="143" t="s">
        <v>1116</v>
      </c>
      <c r="W3" s="143" t="s">
        <v>1116</v>
      </c>
      <c r="X3" s="143" t="s">
        <v>1115</v>
      </c>
      <c r="Y3" s="143" t="s">
        <v>1115</v>
      </c>
      <c r="Z3" s="143" t="s">
        <v>1115</v>
      </c>
      <c r="AA3" s="143" t="s">
        <v>1115</v>
      </c>
      <c r="AB3" s="143" t="s">
        <v>1115</v>
      </c>
      <c r="AC3" s="143" t="s">
        <v>1115</v>
      </c>
      <c r="AD3" s="143" t="s">
        <v>1115</v>
      </c>
      <c r="AE3" s="143" t="s">
        <v>1115</v>
      </c>
      <c r="AF3" s="143" t="s">
        <v>1115</v>
      </c>
      <c r="AG3" s="143" t="s">
        <v>1115</v>
      </c>
      <c r="AH3" s="143" t="s">
        <v>1115</v>
      </c>
      <c r="AI3" s="143" t="s">
        <v>1115</v>
      </c>
      <c r="AJ3" s="143" t="s">
        <v>1115</v>
      </c>
      <c r="AK3" s="143" t="s">
        <v>1115</v>
      </c>
      <c r="AL3" s="143" t="s">
        <v>1115</v>
      </c>
      <c r="AM3" s="143" t="s">
        <v>1115</v>
      </c>
      <c r="AN3" s="143" t="s">
        <v>1115</v>
      </c>
      <c r="AO3" s="143" t="s">
        <v>1115</v>
      </c>
      <c r="AP3" s="143" t="s">
        <v>1115</v>
      </c>
      <c r="AQ3" s="143" t="s">
        <v>1115</v>
      </c>
      <c r="AR3" s="143" t="s">
        <v>1115</v>
      </c>
      <c r="AS3" s="143" t="s">
        <v>1115</v>
      </c>
      <c r="AT3" s="143" t="s">
        <v>1115</v>
      </c>
      <c r="AU3" s="143" t="s">
        <v>1115</v>
      </c>
      <c r="AV3" s="143" t="s">
        <v>1115</v>
      </c>
      <c r="AW3" s="143" t="s">
        <v>1115</v>
      </c>
      <c r="AX3" s="143" t="s">
        <v>1115</v>
      </c>
      <c r="AY3" s="143" t="s">
        <v>1115</v>
      </c>
      <c r="AZ3" s="143" t="s">
        <v>1115</v>
      </c>
      <c r="BA3" s="143" t="s">
        <v>1115</v>
      </c>
      <c r="BB3" s="143" t="s">
        <v>1115</v>
      </c>
      <c r="BC3" s="143" t="s">
        <v>1115</v>
      </c>
      <c r="BD3" s="143" t="s">
        <v>1115</v>
      </c>
      <c r="BE3" s="143" t="s">
        <v>1115</v>
      </c>
      <c r="BF3" s="143" t="s">
        <v>1115</v>
      </c>
      <c r="BG3" s="143" t="s">
        <v>1115</v>
      </c>
      <c r="BH3" s="143" t="s">
        <v>1115</v>
      </c>
      <c r="BI3" s="143" t="s">
        <v>1115</v>
      </c>
      <c r="BJ3" s="143" t="s">
        <v>1115</v>
      </c>
      <c r="BK3" s="143" t="s">
        <v>1115</v>
      </c>
      <c r="BL3" s="143" t="s">
        <v>1115</v>
      </c>
      <c r="BM3" s="143" t="s">
        <v>1115</v>
      </c>
      <c r="BN3" s="143" t="s">
        <v>1115</v>
      </c>
      <c r="BO3" s="143" t="s">
        <v>1115</v>
      </c>
      <c r="BP3" s="143" t="s">
        <v>1115</v>
      </c>
      <c r="BQ3" s="143" t="s">
        <v>1115</v>
      </c>
      <c r="BR3" s="143" t="s">
        <v>1115</v>
      </c>
      <c r="BS3" s="143" t="s">
        <v>1115</v>
      </c>
      <c r="BT3" s="143" t="s">
        <v>1115</v>
      </c>
      <c r="BU3" s="143" t="s">
        <v>1115</v>
      </c>
      <c r="BV3" s="143" t="s">
        <v>1115</v>
      </c>
      <c r="BW3" s="143" t="s">
        <v>1115</v>
      </c>
      <c r="BX3" s="143" t="s">
        <v>1115</v>
      </c>
      <c r="BY3" s="143" t="s">
        <v>1115</v>
      </c>
      <c r="BZ3" s="143" t="s">
        <v>1115</v>
      </c>
    </row>
    <row r="4" spans="1:78" s="137" customFormat="1">
      <c r="A4" s="130" t="s">
        <v>1117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1118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1119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634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635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635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635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635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635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635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635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635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635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635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636</v>
      </c>
      <c r="Q73" s="144" t="s">
        <v>637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636</v>
      </c>
      <c r="Q74" s="144" t="s">
        <v>637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636</v>
      </c>
      <c r="Q75" s="144" t="s">
        <v>637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636</v>
      </c>
      <c r="Q76" s="144" t="s">
        <v>637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636</v>
      </c>
      <c r="Q77" s="144" t="s">
        <v>637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636</v>
      </c>
      <c r="Q78" s="144" t="s">
        <v>637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636</v>
      </c>
      <c r="Q79" s="144" t="s">
        <v>637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636</v>
      </c>
      <c r="Q80" s="144" t="s">
        <v>637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636</v>
      </c>
      <c r="Q81" s="144" t="s">
        <v>637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636</v>
      </c>
      <c r="Q82" s="144" t="s">
        <v>637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638</v>
      </c>
      <c r="Q83" s="144" t="s">
        <v>639</v>
      </c>
      <c r="R83" s="144" t="s">
        <v>640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638</v>
      </c>
      <c r="Q84" s="144" t="s">
        <v>639</v>
      </c>
      <c r="R84" s="144" t="s">
        <v>640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638</v>
      </c>
      <c r="Q85" s="144" t="s">
        <v>639</v>
      </c>
      <c r="R85" s="144" t="s">
        <v>640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638</v>
      </c>
      <c r="Q86" s="144" t="s">
        <v>639</v>
      </c>
      <c r="R86" s="144" t="s">
        <v>640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638</v>
      </c>
      <c r="Q87" s="144" t="s">
        <v>639</v>
      </c>
      <c r="R87" s="144" t="s">
        <v>640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638</v>
      </c>
      <c r="Q88" s="144" t="s">
        <v>639</v>
      </c>
      <c r="R88" s="144" t="s">
        <v>640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638</v>
      </c>
      <c r="Q89" s="144" t="s">
        <v>639</v>
      </c>
      <c r="R89" s="144" t="s">
        <v>640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638</v>
      </c>
      <c r="Q90" s="144" t="s">
        <v>639</v>
      </c>
      <c r="R90" s="144" t="s">
        <v>640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638</v>
      </c>
      <c r="Q91" s="144" t="s">
        <v>639</v>
      </c>
      <c r="R91" s="144" t="s">
        <v>640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638</v>
      </c>
      <c r="Q92" s="145" t="s">
        <v>639</v>
      </c>
      <c r="R92" s="144" t="s">
        <v>640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641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641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641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641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641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641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641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641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641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641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642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642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642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642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642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642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642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642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642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642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643</v>
      </c>
      <c r="Q113" s="136" t="s">
        <v>639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643</v>
      </c>
      <c r="Q114" s="136" t="s">
        <v>639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643</v>
      </c>
      <c r="Q115" s="136" t="s">
        <v>639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643</v>
      </c>
      <c r="Q116" s="136" t="s">
        <v>639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643</v>
      </c>
      <c r="Q117" s="136" t="s">
        <v>639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643</v>
      </c>
      <c r="Q118" s="136" t="s">
        <v>639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643</v>
      </c>
      <c r="Q119" s="136" t="s">
        <v>639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643</v>
      </c>
      <c r="Q120" s="136" t="s">
        <v>639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643</v>
      </c>
      <c r="Q121" s="136" t="s">
        <v>639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643</v>
      </c>
      <c r="Q122" s="136" t="s">
        <v>639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644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644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644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644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644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644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644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644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644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644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1120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1121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1122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1123</v>
      </c>
      <c r="B139" s="127"/>
    </row>
    <row r="140" spans="1:78">
      <c r="A140" s="149">
        <v>200001</v>
      </c>
      <c r="B140" s="149">
        <v>0</v>
      </c>
      <c r="C140" s="133" t="s">
        <v>1124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644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1125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545</v>
      </c>
      <c r="B1" s="117" t="s">
        <v>1236</v>
      </c>
      <c r="C1" s="134" t="s">
        <v>1237</v>
      </c>
      <c r="D1" s="170" t="s">
        <v>1277</v>
      </c>
      <c r="E1" s="160" t="s">
        <v>1240</v>
      </c>
    </row>
    <row r="2" spans="1:5" s="134" customFormat="1" ht="15.75" customHeight="1">
      <c r="A2" s="134" t="s">
        <v>542</v>
      </c>
      <c r="B2" s="117" t="s">
        <v>1235</v>
      </c>
      <c r="C2" s="134" t="s">
        <v>1247</v>
      </c>
      <c r="D2" s="170" t="s">
        <v>1276</v>
      </c>
      <c r="E2" s="160"/>
    </row>
    <row r="3" spans="1:5" s="134" customFormat="1">
      <c r="A3" s="134" t="s">
        <v>543</v>
      </c>
      <c r="B3" s="117" t="s">
        <v>1259</v>
      </c>
      <c r="C3" s="134" t="s">
        <v>1238</v>
      </c>
      <c r="D3" s="170" t="s">
        <v>1278</v>
      </c>
      <c r="E3" s="160"/>
    </row>
    <row r="4" spans="1:5" s="137" customFormat="1">
      <c r="A4" s="130" t="s">
        <v>1239</v>
      </c>
      <c r="B4" s="127"/>
      <c r="D4" s="171"/>
      <c r="E4" s="161"/>
    </row>
    <row r="5" spans="1:5">
      <c r="A5" s="135">
        <v>1</v>
      </c>
      <c r="B5" s="135" t="s">
        <v>1280</v>
      </c>
      <c r="C5" s="135" t="e">
        <f>INDEX(Multilingual!A:B,MATCH(E5,Multilingual!B:B,0),1)</f>
        <v>#REF!</v>
      </c>
      <c r="D5" s="172" t="s">
        <v>1248</v>
      </c>
      <c r="E5" s="162" t="e">
        <f>Multilingual!#REF!</f>
        <v>#REF!</v>
      </c>
    </row>
    <row r="6" spans="1:5">
      <c r="A6" s="135">
        <f>A5+10</f>
        <v>11</v>
      </c>
      <c r="B6" s="135" t="s">
        <v>1281</v>
      </c>
      <c r="C6" s="135" t="e">
        <f>INDEX(Multilingual!A:B,MATCH(E6,Multilingual!B:B,0),1)</f>
        <v>#REF!</v>
      </c>
      <c r="D6" s="172" t="s">
        <v>1249</v>
      </c>
      <c r="E6" s="162" t="e">
        <f>Multilingual!#REF!</f>
        <v>#REF!</v>
      </c>
    </row>
    <row r="7" spans="1:5">
      <c r="A7" s="135">
        <f>A6+10</f>
        <v>21</v>
      </c>
      <c r="B7" s="135" t="s">
        <v>1282</v>
      </c>
      <c r="C7" s="135" t="e">
        <f>Multilingual!#REF!</f>
        <v>#REF!</v>
      </c>
      <c r="D7" s="172" t="s">
        <v>1279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1283</v>
      </c>
      <c r="C8" s="135" t="e">
        <f>Multilingual!#REF!</f>
        <v>#REF!</v>
      </c>
      <c r="D8" s="172" t="s">
        <v>1272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1284</v>
      </c>
      <c r="C9" s="135" t="e">
        <f>Multilingual!#REF!</f>
        <v>#REF!</v>
      </c>
      <c r="D9" s="172" t="s">
        <v>1268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1285</v>
      </c>
      <c r="C10" s="135" t="e">
        <f>Multilingual!#REF!</f>
        <v>#REF!</v>
      </c>
      <c r="D10" s="172" t="s">
        <v>1269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1286</v>
      </c>
      <c r="C11" s="135" t="e">
        <f>Multilingual!#REF!</f>
        <v>#REF!</v>
      </c>
      <c r="D11" s="172" t="s">
        <v>1271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1287</v>
      </c>
      <c r="C12" s="135" t="e">
        <f>Multilingual!#REF!</f>
        <v>#REF!</v>
      </c>
      <c r="D12" s="172" t="s">
        <v>1270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1288</v>
      </c>
      <c r="C13" s="135" t="e">
        <f>Multilingual!#REF!</f>
        <v>#REF!</v>
      </c>
      <c r="D13" s="172" t="s">
        <v>1273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1289</v>
      </c>
      <c r="C14" s="135" t="e">
        <f>Multilingual!#REF!</f>
        <v>#REF!</v>
      </c>
      <c r="D14" s="172" t="s">
        <v>1274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1290</v>
      </c>
      <c r="C15" s="135" t="e">
        <f>Multilingual!#REF!</f>
        <v>#REF!</v>
      </c>
      <c r="D15" s="172" t="s">
        <v>1275</v>
      </c>
      <c r="E15" s="162" t="e">
        <f>Multilingual!#REF!</f>
        <v>#REF!</v>
      </c>
    </row>
    <row r="16" spans="1:5" s="137" customFormat="1">
      <c r="A16" s="130" t="s">
        <v>1265</v>
      </c>
      <c r="B16" s="127"/>
      <c r="D16" s="171"/>
      <c r="E16" s="161"/>
    </row>
    <row r="17" spans="1:5">
      <c r="A17" s="135">
        <v>100001</v>
      </c>
      <c r="B17" s="135" t="s">
        <v>1266</v>
      </c>
      <c r="C17" s="135" t="e">
        <f>Multilingual!#REF!</f>
        <v>#REF!</v>
      </c>
      <c r="D17" s="172" t="s">
        <v>1267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1156</v>
      </c>
      <c r="B1" s="134" t="s">
        <v>1157</v>
      </c>
      <c r="C1" s="134" t="s">
        <v>1158</v>
      </c>
      <c r="D1" s="126" t="s">
        <v>1159</v>
      </c>
      <c r="E1" s="134" t="s">
        <v>1160</v>
      </c>
      <c r="F1" s="134" t="s">
        <v>1161</v>
      </c>
      <c r="G1" s="134" t="s">
        <v>1162</v>
      </c>
      <c r="H1" s="134" t="s">
        <v>1163</v>
      </c>
      <c r="I1" s="134" t="s">
        <v>1164</v>
      </c>
    </row>
    <row r="2" spans="1:9" s="134" customFormat="1">
      <c r="A2" s="134" t="s">
        <v>772</v>
      </c>
      <c r="B2" s="134" t="s">
        <v>1165</v>
      </c>
      <c r="C2" s="134" t="s">
        <v>773</v>
      </c>
      <c r="D2" s="126"/>
      <c r="E2" s="134" t="s">
        <v>774</v>
      </c>
      <c r="F2" s="134" t="s">
        <v>1166</v>
      </c>
      <c r="G2" s="134" t="s">
        <v>1167</v>
      </c>
      <c r="H2" s="134" t="s">
        <v>1168</v>
      </c>
      <c r="I2" s="134" t="s">
        <v>1169</v>
      </c>
    </row>
    <row r="3" spans="1:9" s="134" customFormat="1">
      <c r="A3" s="134" t="s">
        <v>15</v>
      </c>
      <c r="B3" s="134" t="s">
        <v>1351</v>
      </c>
      <c r="C3" s="134" t="s">
        <v>15</v>
      </c>
      <c r="D3" s="126"/>
      <c r="E3" s="134" t="s">
        <v>15</v>
      </c>
      <c r="F3" s="134" t="s">
        <v>15</v>
      </c>
      <c r="G3" s="134" t="s">
        <v>15</v>
      </c>
      <c r="H3" s="134" t="s">
        <v>1355</v>
      </c>
      <c r="I3" s="134" t="s">
        <v>15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545</v>
      </c>
      <c r="B1" s="134" t="s">
        <v>607</v>
      </c>
      <c r="C1" s="134" t="s">
        <v>649</v>
      </c>
      <c r="D1" s="134" t="s">
        <v>1170</v>
      </c>
      <c r="E1" s="126" t="s">
        <v>650</v>
      </c>
      <c r="F1" s="134" t="s">
        <v>645</v>
      </c>
      <c r="G1" s="134" t="s">
        <v>646</v>
      </c>
      <c r="H1" s="134" t="s">
        <v>651</v>
      </c>
      <c r="I1" s="134" t="s">
        <v>647</v>
      </c>
    </row>
    <row r="2" spans="1:9" s="134" customFormat="1">
      <c r="A2" s="134" t="s">
        <v>542</v>
      </c>
      <c r="B2" s="134" t="s">
        <v>606</v>
      </c>
      <c r="C2" s="134" t="s">
        <v>652</v>
      </c>
      <c r="D2" s="134" t="s">
        <v>215</v>
      </c>
      <c r="E2" s="126"/>
      <c r="F2" s="134" t="s">
        <v>605</v>
      </c>
      <c r="G2" s="134" t="s">
        <v>297</v>
      </c>
      <c r="H2" s="134" t="s">
        <v>546</v>
      </c>
      <c r="I2" s="134" t="s">
        <v>648</v>
      </c>
    </row>
    <row r="3" spans="1:9" s="134" customFormat="1">
      <c r="A3" s="134" t="s">
        <v>15</v>
      </c>
      <c r="B3" s="134" t="s">
        <v>15</v>
      </c>
      <c r="C3" s="134" t="s">
        <v>1351</v>
      </c>
      <c r="D3" s="134" t="s">
        <v>15</v>
      </c>
      <c r="E3" s="126"/>
      <c r="F3" s="134" t="s">
        <v>15</v>
      </c>
      <c r="G3" s="134" t="s">
        <v>15</v>
      </c>
      <c r="H3" s="134" t="s">
        <v>15</v>
      </c>
      <c r="I3" s="134" t="s">
        <v>15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1156</v>
      </c>
      <c r="B1" s="134" t="s">
        <v>1171</v>
      </c>
      <c r="C1" s="134" t="s">
        <v>1172</v>
      </c>
      <c r="D1" s="134" t="s">
        <v>1173</v>
      </c>
    </row>
    <row r="2" spans="1:4" s="134" customFormat="1">
      <c r="A2" s="134" t="s">
        <v>772</v>
      </c>
      <c r="B2" s="134" t="s">
        <v>1174</v>
      </c>
      <c r="C2" s="134" t="s">
        <v>1175</v>
      </c>
      <c r="D2" s="134" t="s">
        <v>1176</v>
      </c>
    </row>
    <row r="3" spans="1:4" s="134" customFormat="1">
      <c r="A3" s="134" t="s">
        <v>15</v>
      </c>
      <c r="B3" s="134" t="s">
        <v>15</v>
      </c>
      <c r="C3" s="134" t="s">
        <v>15</v>
      </c>
      <c r="D3" s="134" t="s">
        <v>15</v>
      </c>
    </row>
    <row r="4" spans="1:4" s="137" customFormat="1">
      <c r="A4" s="130" t="s">
        <v>1177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1178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1156</v>
      </c>
      <c r="B1" s="126" t="s">
        <v>1179</v>
      </c>
      <c r="C1" s="134" t="s">
        <v>1180</v>
      </c>
      <c r="D1" s="134" t="s">
        <v>1181</v>
      </c>
      <c r="E1" s="134" t="s">
        <v>155</v>
      </c>
      <c r="F1" s="134" t="s">
        <v>156</v>
      </c>
      <c r="G1" s="134" t="s">
        <v>157</v>
      </c>
      <c r="H1" s="134" t="s">
        <v>158</v>
      </c>
      <c r="I1" s="134" t="s">
        <v>159</v>
      </c>
      <c r="J1" s="134" t="s">
        <v>160</v>
      </c>
      <c r="K1" s="134" t="s">
        <v>161</v>
      </c>
      <c r="L1" s="134" t="s">
        <v>162</v>
      </c>
      <c r="M1" s="134" t="s">
        <v>163</v>
      </c>
      <c r="N1" s="134" t="s">
        <v>164</v>
      </c>
      <c r="O1" s="134" t="s">
        <v>165</v>
      </c>
      <c r="P1" s="134" t="s">
        <v>166</v>
      </c>
      <c r="Q1" s="134" t="s">
        <v>167</v>
      </c>
      <c r="R1" s="134" t="s">
        <v>168</v>
      </c>
      <c r="S1" s="134" t="s">
        <v>169</v>
      </c>
      <c r="T1" s="134" t="s">
        <v>170</v>
      </c>
      <c r="U1" s="134" t="s">
        <v>171</v>
      </c>
      <c r="V1" s="134" t="s">
        <v>172</v>
      </c>
      <c r="W1" s="134" t="s">
        <v>173</v>
      </c>
      <c r="X1" s="134" t="s">
        <v>174</v>
      </c>
      <c r="Y1" s="134" t="s">
        <v>175</v>
      </c>
      <c r="Z1" s="134" t="s">
        <v>176</v>
      </c>
      <c r="AA1" s="134" t="s">
        <v>177</v>
      </c>
      <c r="AB1" s="134" t="s">
        <v>178</v>
      </c>
      <c r="AC1" s="134" t="s">
        <v>179</v>
      </c>
      <c r="AD1" s="134" t="s">
        <v>180</v>
      </c>
      <c r="AE1" s="134" t="s">
        <v>181</v>
      </c>
      <c r="AF1" s="134" t="s">
        <v>182</v>
      </c>
    </row>
    <row r="2" spans="1:32" s="134" customFormat="1">
      <c r="A2" s="134" t="s">
        <v>1182</v>
      </c>
      <c r="B2" s="126"/>
      <c r="C2" s="14" t="s">
        <v>1183</v>
      </c>
      <c r="D2" s="14" t="s">
        <v>1184</v>
      </c>
      <c r="E2" s="14" t="s">
        <v>114</v>
      </c>
      <c r="F2" s="14" t="s">
        <v>115</v>
      </c>
      <c r="G2" s="14" t="s">
        <v>116</v>
      </c>
      <c r="H2" s="14" t="s">
        <v>117</v>
      </c>
      <c r="I2" s="14" t="s">
        <v>118</v>
      </c>
      <c r="J2" s="14" t="s">
        <v>119</v>
      </c>
      <c r="K2" s="14" t="s">
        <v>120</v>
      </c>
      <c r="L2" s="14" t="s">
        <v>121</v>
      </c>
      <c r="M2" s="14" t="s">
        <v>135</v>
      </c>
      <c r="N2" s="14" t="s">
        <v>136</v>
      </c>
      <c r="O2" s="14" t="s">
        <v>137</v>
      </c>
      <c r="P2" s="14" t="s">
        <v>138</v>
      </c>
      <c r="Q2" s="14" t="s">
        <v>139</v>
      </c>
      <c r="R2" s="14" t="s">
        <v>140</v>
      </c>
      <c r="S2" s="14" t="s">
        <v>141</v>
      </c>
      <c r="T2" s="14" t="s">
        <v>142</v>
      </c>
      <c r="U2" s="14" t="s">
        <v>143</v>
      </c>
      <c r="V2" s="14" t="s">
        <v>144</v>
      </c>
      <c r="W2" s="14" t="s">
        <v>145</v>
      </c>
      <c r="X2" s="14" t="s">
        <v>146</v>
      </c>
      <c r="Y2" s="14" t="s">
        <v>147</v>
      </c>
      <c r="Z2" s="14" t="s">
        <v>148</v>
      </c>
      <c r="AA2" s="14" t="s">
        <v>149</v>
      </c>
      <c r="AB2" s="14" t="s">
        <v>150</v>
      </c>
      <c r="AC2" s="14" t="s">
        <v>151</v>
      </c>
      <c r="AD2" s="14" t="s">
        <v>152</v>
      </c>
      <c r="AE2" s="14" t="s">
        <v>153</v>
      </c>
      <c r="AF2" s="14" t="s">
        <v>154</v>
      </c>
    </row>
    <row r="3" spans="1:32" s="134" customFormat="1">
      <c r="A3" s="134" t="s">
        <v>15</v>
      </c>
      <c r="B3" s="126"/>
      <c r="C3" s="134" t="s">
        <v>15</v>
      </c>
      <c r="D3" s="134" t="s">
        <v>15</v>
      </c>
      <c r="E3" s="134" t="s">
        <v>15</v>
      </c>
      <c r="F3" s="134" t="s">
        <v>15</v>
      </c>
      <c r="G3" s="134" t="s">
        <v>15</v>
      </c>
      <c r="H3" s="134" t="s">
        <v>15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15</v>
      </c>
      <c r="N3" s="134" t="s">
        <v>15</v>
      </c>
      <c r="O3" s="134" t="s">
        <v>15</v>
      </c>
      <c r="P3" s="134" t="s">
        <v>15</v>
      </c>
      <c r="Q3" s="134" t="s">
        <v>15</v>
      </c>
      <c r="R3" s="134" t="s">
        <v>15</v>
      </c>
      <c r="S3" s="134" t="s">
        <v>15</v>
      </c>
      <c r="T3" s="134" t="s">
        <v>15</v>
      </c>
      <c r="U3" s="134" t="s">
        <v>15</v>
      </c>
      <c r="V3" s="134" t="s">
        <v>15</v>
      </c>
      <c r="W3" s="134" t="s">
        <v>15</v>
      </c>
      <c r="X3" s="134" t="s">
        <v>15</v>
      </c>
      <c r="Y3" s="134" t="s">
        <v>15</v>
      </c>
      <c r="Z3" s="134" t="s">
        <v>15</v>
      </c>
      <c r="AA3" s="134" t="s">
        <v>15</v>
      </c>
      <c r="AB3" s="134" t="s">
        <v>15</v>
      </c>
      <c r="AC3" s="134" t="s">
        <v>15</v>
      </c>
      <c r="AD3" s="134" t="s">
        <v>15</v>
      </c>
      <c r="AE3" s="134" t="s">
        <v>15</v>
      </c>
      <c r="AF3" s="134" t="s">
        <v>15</v>
      </c>
    </row>
    <row r="4" spans="1:32">
      <c r="A4" s="135">
        <v>1</v>
      </c>
      <c r="B4" s="133" t="s">
        <v>1185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1186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1187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zoomScale="85" zoomScaleNormal="85" workbookViewId="0">
      <selection activeCell="G3" sqref="G3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1188</v>
      </c>
      <c r="B1" s="147" t="s">
        <v>1189</v>
      </c>
      <c r="C1" s="147" t="s">
        <v>1190</v>
      </c>
      <c r="D1" s="146" t="s">
        <v>1191</v>
      </c>
      <c r="E1" s="146" t="s">
        <v>1192</v>
      </c>
      <c r="F1" s="146" t="s">
        <v>1193</v>
      </c>
      <c r="G1" s="146" t="s">
        <v>1194</v>
      </c>
      <c r="H1" s="146" t="s">
        <v>1195</v>
      </c>
    </row>
    <row r="2" spans="1:8">
      <c r="A2" s="146" t="s">
        <v>1196</v>
      </c>
      <c r="B2" s="147"/>
      <c r="C2" s="147"/>
      <c r="D2" s="146" t="s">
        <v>1197</v>
      </c>
      <c r="E2" s="146" t="s">
        <v>1198</v>
      </c>
      <c r="F2" s="146" t="s">
        <v>1199</v>
      </c>
      <c r="G2" s="146" t="s">
        <v>1200</v>
      </c>
      <c r="H2" s="146" t="s">
        <v>1201</v>
      </c>
    </row>
    <row r="3" spans="1:8">
      <c r="A3" s="146" t="s">
        <v>15</v>
      </c>
      <c r="B3" s="147"/>
      <c r="C3" s="147"/>
      <c r="D3" s="146" t="s">
        <v>1356</v>
      </c>
      <c r="E3" s="146" t="s">
        <v>1356</v>
      </c>
      <c r="F3" s="146" t="s">
        <v>1357</v>
      </c>
      <c r="G3" s="146" t="s">
        <v>1263</v>
      </c>
      <c r="H3" s="146" t="s">
        <v>1258</v>
      </c>
    </row>
    <row r="4" spans="1:8" s="118" customFormat="1">
      <c r="A4" s="118" t="s">
        <v>1202</v>
      </c>
    </row>
    <row r="5" spans="1:8" s="118" customFormat="1">
      <c r="A5" s="118" t="s">
        <v>1203</v>
      </c>
    </row>
    <row r="6" spans="1:8">
      <c r="A6" s="135">
        <v>1</v>
      </c>
      <c r="B6" s="148" t="s">
        <v>208</v>
      </c>
      <c r="C6" s="148" t="s">
        <v>1204</v>
      </c>
      <c r="D6" s="131">
        <v>255</v>
      </c>
      <c r="E6" s="135">
        <v>255</v>
      </c>
      <c r="F6" s="135">
        <v>255</v>
      </c>
      <c r="G6" s="135" t="s">
        <v>653</v>
      </c>
      <c r="H6" s="135" t="s">
        <v>654</v>
      </c>
    </row>
    <row r="7" spans="1:8">
      <c r="A7" s="135">
        <f>A6+1</f>
        <v>2</v>
      </c>
      <c r="B7" s="148" t="s">
        <v>209</v>
      </c>
      <c r="C7" s="148" t="s">
        <v>1205</v>
      </c>
      <c r="D7" s="131">
        <v>0</v>
      </c>
      <c r="E7" s="135">
        <v>255</v>
      </c>
      <c r="F7" s="135">
        <v>0</v>
      </c>
      <c r="G7" s="135" t="s">
        <v>1206</v>
      </c>
      <c r="H7" s="135" t="s">
        <v>1207</v>
      </c>
    </row>
    <row r="8" spans="1:8">
      <c r="A8" s="135">
        <f t="shared" ref="A8:A12" si="0">A7+1</f>
        <v>3</v>
      </c>
      <c r="B8" s="148" t="s">
        <v>210</v>
      </c>
      <c r="C8" s="148" t="s">
        <v>1208</v>
      </c>
      <c r="D8" s="131">
        <v>71</v>
      </c>
      <c r="E8" s="135">
        <v>84</v>
      </c>
      <c r="F8" s="135">
        <v>251</v>
      </c>
      <c r="G8" s="135" t="s">
        <v>1209</v>
      </c>
      <c r="H8" s="135" t="s">
        <v>1207</v>
      </c>
    </row>
    <row r="9" spans="1:8">
      <c r="A9" s="135">
        <f t="shared" si="0"/>
        <v>4</v>
      </c>
      <c r="B9" s="148" t="s">
        <v>211</v>
      </c>
      <c r="C9" s="148" t="s">
        <v>1210</v>
      </c>
      <c r="D9" s="131">
        <v>255</v>
      </c>
      <c r="E9" s="135">
        <v>228</v>
      </c>
      <c r="F9" s="135">
        <v>0</v>
      </c>
      <c r="G9" s="135" t="s">
        <v>655</v>
      </c>
      <c r="H9" s="135" t="s">
        <v>654</v>
      </c>
    </row>
    <row r="10" spans="1:8">
      <c r="A10" s="135">
        <f t="shared" si="0"/>
        <v>5</v>
      </c>
      <c r="B10" s="148" t="s">
        <v>212</v>
      </c>
      <c r="C10" s="148" t="s">
        <v>656</v>
      </c>
      <c r="D10" s="131">
        <v>255</v>
      </c>
      <c r="E10" s="135">
        <v>174</v>
      </c>
      <c r="F10" s="135">
        <v>0</v>
      </c>
      <c r="G10" s="135" t="s">
        <v>1211</v>
      </c>
      <c r="H10" s="135" t="s">
        <v>1212</v>
      </c>
    </row>
    <row r="11" spans="1:8">
      <c r="A11" s="135">
        <f t="shared" si="0"/>
        <v>6</v>
      </c>
      <c r="B11" s="148" t="s">
        <v>213</v>
      </c>
      <c r="C11" s="148" t="s">
        <v>1213</v>
      </c>
      <c r="D11" s="131">
        <v>255</v>
      </c>
      <c r="E11" s="135">
        <v>108</v>
      </c>
      <c r="F11" s="135">
        <v>0</v>
      </c>
      <c r="G11" s="135" t="s">
        <v>1214</v>
      </c>
      <c r="H11" s="135" t="s">
        <v>1232</v>
      </c>
    </row>
    <row r="12" spans="1:8">
      <c r="A12" s="135">
        <f t="shared" si="0"/>
        <v>7</v>
      </c>
      <c r="B12" s="148" t="s">
        <v>214</v>
      </c>
      <c r="C12" s="148" t="s">
        <v>1215</v>
      </c>
      <c r="D12" s="131">
        <v>216</v>
      </c>
      <c r="E12" s="135">
        <v>0</v>
      </c>
      <c r="F12" s="135">
        <v>255</v>
      </c>
      <c r="G12" s="135" t="s">
        <v>1216</v>
      </c>
      <c r="H12" s="135" t="s">
        <v>269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6"/>
  <sheetViews>
    <sheetView workbookViewId="0">
      <selection activeCell="C8" sqref="C8"/>
    </sheetView>
  </sheetViews>
  <sheetFormatPr defaultRowHeight="13.5"/>
  <cols>
    <col min="1" max="1" width="4.375" style="12" customWidth="1"/>
    <col min="2" max="3" width="18.875" style="12" customWidth="1"/>
    <col min="4" max="16384" width="9" style="12"/>
  </cols>
  <sheetData>
    <row r="2" spans="2:7">
      <c r="B2" s="12" t="s">
        <v>657</v>
      </c>
    </row>
    <row r="3" spans="2:7">
      <c r="B3" s="13" t="s">
        <v>658</v>
      </c>
    </row>
    <row r="4" spans="2:7">
      <c r="B4" s="12" t="s">
        <v>659</v>
      </c>
    </row>
    <row r="5" spans="2:7">
      <c r="B5" s="12" t="s">
        <v>660</v>
      </c>
    </row>
    <row r="7" spans="2:7">
      <c r="B7" s="98" t="s">
        <v>661</v>
      </c>
      <c r="C7" s="98" t="s">
        <v>662</v>
      </c>
      <c r="G7" s="12" t="s">
        <v>1342</v>
      </c>
    </row>
    <row r="8" spans="2:7">
      <c r="B8" s="199" t="s">
        <v>1391</v>
      </c>
      <c r="C8" s="98" t="s">
        <v>296</v>
      </c>
      <c r="G8" s="12" t="s">
        <v>1392</v>
      </c>
    </row>
    <row r="9" spans="2:7">
      <c r="B9" s="199" t="s">
        <v>1250</v>
      </c>
      <c r="C9" s="98"/>
    </row>
    <row r="10" spans="2:7">
      <c r="B10" s="199" t="s">
        <v>1393</v>
      </c>
      <c r="C10" s="98"/>
    </row>
    <row r="11" spans="2:7">
      <c r="B11" s="98" t="s">
        <v>1442</v>
      </c>
      <c r="C11" s="98"/>
    </row>
    <row r="12" spans="2:7">
      <c r="B12" s="98"/>
      <c r="C12" s="98"/>
    </row>
    <row r="13" spans="2:7">
      <c r="B13" s="98"/>
      <c r="C13" s="98"/>
    </row>
    <row r="14" spans="2:7">
      <c r="B14" s="98"/>
      <c r="C14" s="98"/>
    </row>
    <row r="15" spans="2:7">
      <c r="B15" s="98"/>
      <c r="C15" s="98"/>
    </row>
    <row r="16" spans="2:7">
      <c r="B16" s="194"/>
      <c r="C16" s="98"/>
    </row>
    <row r="17" spans="2:3">
      <c r="B17" s="98"/>
      <c r="C17" s="98"/>
    </row>
    <row r="18" spans="2:3">
      <c r="B18" s="98"/>
      <c r="C18" s="98"/>
    </row>
    <row r="19" spans="2:3">
      <c r="B19" s="98"/>
      <c r="C19" s="98"/>
    </row>
    <row r="20" spans="2:3">
      <c r="B20" s="98"/>
      <c r="C20" s="98"/>
    </row>
    <row r="21" spans="2:3">
      <c r="B21" s="98"/>
      <c r="C21" s="98"/>
    </row>
    <row r="22" spans="2:3">
      <c r="B22" s="98"/>
      <c r="C22" s="98"/>
    </row>
    <row r="23" spans="2:3">
      <c r="B23" s="98"/>
      <c r="C23" s="98"/>
    </row>
    <row r="24" spans="2:3">
      <c r="B24" s="98"/>
      <c r="C24" s="98"/>
    </row>
    <row r="25" spans="2:3">
      <c r="B25" s="98"/>
      <c r="C25" s="98"/>
    </row>
    <row r="26" spans="2:3">
      <c r="B26" s="98"/>
      <c r="C26" s="98"/>
    </row>
    <row r="27" spans="2:3">
      <c r="B27" s="98"/>
      <c r="C27" s="98"/>
    </row>
    <row r="28" spans="2:3">
      <c r="B28" s="98"/>
      <c r="C28" s="98"/>
    </row>
    <row r="29" spans="2:3">
      <c r="B29" s="98"/>
      <c r="C29" s="98"/>
    </row>
    <row r="30" spans="2:3">
      <c r="B30" s="98"/>
      <c r="C30" s="98"/>
    </row>
    <row r="31" spans="2:3">
      <c r="B31" s="98"/>
      <c r="C31" s="98"/>
    </row>
    <row r="32" spans="2:3">
      <c r="B32" s="98"/>
      <c r="C32" s="98"/>
    </row>
    <row r="33" spans="2:3">
      <c r="B33" s="98"/>
      <c r="C33" s="98"/>
    </row>
    <row r="34" spans="2:3">
      <c r="B34" s="98"/>
      <c r="C34" s="98"/>
    </row>
    <row r="35" spans="2:3">
      <c r="B35" s="98"/>
      <c r="C35" s="98"/>
    </row>
    <row r="36" spans="2:3">
      <c r="B36" s="98"/>
      <c r="C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183</v>
      </c>
    </row>
    <row r="3" spans="1:9">
      <c r="A3" s="16" t="s">
        <v>184</v>
      </c>
    </row>
    <row r="4" spans="1:9" ht="14.25" thickBot="1"/>
    <row r="5" spans="1:9">
      <c r="B5" s="253" t="s">
        <v>185</v>
      </c>
      <c r="C5" s="33" t="s">
        <v>206</v>
      </c>
      <c r="D5" s="250" t="s">
        <v>186</v>
      </c>
      <c r="E5" s="251"/>
      <c r="F5" s="250" t="s">
        <v>187</v>
      </c>
      <c r="G5" s="252"/>
      <c r="H5" s="251"/>
      <c r="I5" s="255" t="s">
        <v>188</v>
      </c>
    </row>
    <row r="6" spans="1:9" ht="14.25" thickBot="1">
      <c r="B6" s="254"/>
      <c r="C6" s="34"/>
      <c r="D6" s="21" t="s">
        <v>189</v>
      </c>
      <c r="E6" s="22" t="s">
        <v>190</v>
      </c>
      <c r="F6" s="21" t="s">
        <v>189</v>
      </c>
      <c r="G6" s="20" t="s">
        <v>191</v>
      </c>
      <c r="H6" s="22" t="s">
        <v>190</v>
      </c>
      <c r="I6" s="256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270</v>
      </c>
      <c r="C2" s="101" t="s">
        <v>271</v>
      </c>
      <c r="E2" s="258" t="s">
        <v>270</v>
      </c>
      <c r="F2" s="259" t="s">
        <v>271</v>
      </c>
      <c r="G2" s="259"/>
      <c r="H2" s="259"/>
      <c r="I2" s="259"/>
      <c r="J2" s="259"/>
      <c r="K2" s="259"/>
      <c r="L2" s="259"/>
      <c r="M2" s="259"/>
      <c r="P2" s="112" t="s">
        <v>336</v>
      </c>
      <c r="Q2" s="112" t="s">
        <v>270</v>
      </c>
      <c r="R2" s="113" t="s">
        <v>337</v>
      </c>
    </row>
    <row r="3" spans="2:18" ht="19.5" customHeight="1">
      <c r="B3" s="92" t="s">
        <v>272</v>
      </c>
      <c r="C3" s="102" t="s">
        <v>273</v>
      </c>
      <c r="E3" s="258"/>
      <c r="F3" s="100" t="s">
        <v>268</v>
      </c>
      <c r="G3" s="100" t="s">
        <v>274</v>
      </c>
      <c r="H3" s="100" t="s">
        <v>275</v>
      </c>
      <c r="I3" s="100" t="s">
        <v>276</v>
      </c>
      <c r="J3" s="100" t="s">
        <v>277</v>
      </c>
      <c r="K3" s="100" t="s">
        <v>278</v>
      </c>
      <c r="L3" s="100" t="s">
        <v>279</v>
      </c>
      <c r="M3" s="100" t="s">
        <v>280</v>
      </c>
      <c r="P3" s="260" t="s">
        <v>338</v>
      </c>
      <c r="Q3" s="106" t="s">
        <v>339</v>
      </c>
      <c r="R3" s="102" t="s">
        <v>340</v>
      </c>
    </row>
    <row r="4" spans="2:18" ht="19.5" customHeight="1">
      <c r="B4" s="92" t="s">
        <v>274</v>
      </c>
      <c r="C4" s="102" t="s">
        <v>281</v>
      </c>
      <c r="E4" s="102" t="s">
        <v>282</v>
      </c>
      <c r="F4" s="103" t="s">
        <v>283</v>
      </c>
      <c r="G4" s="102"/>
      <c r="H4" s="102"/>
      <c r="I4" s="102"/>
      <c r="J4" s="103" t="s">
        <v>283</v>
      </c>
      <c r="K4" s="102"/>
      <c r="L4" s="103" t="s">
        <v>283</v>
      </c>
      <c r="M4" s="103" t="s">
        <v>283</v>
      </c>
      <c r="P4" s="261"/>
      <c r="Q4" s="106" t="s">
        <v>341</v>
      </c>
      <c r="R4" s="102" t="s">
        <v>342</v>
      </c>
    </row>
    <row r="5" spans="2:18" ht="19.5" customHeight="1">
      <c r="B5" s="92" t="s">
        <v>275</v>
      </c>
      <c r="C5" s="102" t="s">
        <v>284</v>
      </c>
      <c r="E5" s="102" t="s">
        <v>284</v>
      </c>
      <c r="F5" s="102"/>
      <c r="G5" s="102"/>
      <c r="H5" s="103" t="s">
        <v>283</v>
      </c>
      <c r="I5" s="102"/>
      <c r="J5" s="103" t="s">
        <v>283</v>
      </c>
      <c r="K5" s="102"/>
      <c r="L5" s="103" t="s">
        <v>283</v>
      </c>
      <c r="M5" s="103" t="s">
        <v>283</v>
      </c>
      <c r="P5" s="261"/>
      <c r="Q5" s="106" t="s">
        <v>343</v>
      </c>
      <c r="R5" s="102" t="s">
        <v>344</v>
      </c>
    </row>
    <row r="6" spans="2:18" ht="19.5" customHeight="1">
      <c r="B6" s="92" t="s">
        <v>276</v>
      </c>
      <c r="C6" s="102" t="s">
        <v>285</v>
      </c>
      <c r="E6" s="107"/>
      <c r="F6" s="107"/>
      <c r="G6" s="107"/>
      <c r="H6" s="107"/>
      <c r="I6" s="107"/>
      <c r="J6" s="107"/>
      <c r="K6" s="107"/>
      <c r="L6" s="107"/>
      <c r="M6" s="107"/>
      <c r="P6" s="261"/>
      <c r="Q6" s="106" t="s">
        <v>345</v>
      </c>
      <c r="R6" s="102" t="s">
        <v>346</v>
      </c>
    </row>
    <row r="7" spans="2:18" ht="19.5" customHeight="1">
      <c r="E7" s="102" t="s">
        <v>286</v>
      </c>
      <c r="F7" s="102"/>
      <c r="G7" s="103" t="s">
        <v>287</v>
      </c>
      <c r="H7" s="102"/>
      <c r="I7" s="103" t="s">
        <v>287</v>
      </c>
      <c r="J7" s="102"/>
      <c r="K7" s="102"/>
      <c r="L7" s="103" t="s">
        <v>287</v>
      </c>
      <c r="M7" s="103" t="s">
        <v>287</v>
      </c>
      <c r="P7" s="261"/>
      <c r="Q7" s="106" t="s">
        <v>347</v>
      </c>
      <c r="R7" s="102" t="s">
        <v>348</v>
      </c>
    </row>
    <row r="8" spans="2:18" ht="19.5" customHeight="1">
      <c r="E8" s="102" t="s">
        <v>288</v>
      </c>
      <c r="F8" s="102"/>
      <c r="G8" s="103" t="s">
        <v>287</v>
      </c>
      <c r="H8" s="102"/>
      <c r="I8" s="102"/>
      <c r="J8" s="102"/>
      <c r="K8" s="102"/>
      <c r="L8" s="103" t="s">
        <v>287</v>
      </c>
      <c r="M8" s="103" t="s">
        <v>287</v>
      </c>
      <c r="P8" s="261"/>
      <c r="Q8" s="104" t="s">
        <v>349</v>
      </c>
      <c r="R8" s="105" t="s">
        <v>350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1"/>
      <c r="Q9" s="106" t="s">
        <v>299</v>
      </c>
      <c r="R9" s="102" t="s">
        <v>351</v>
      </c>
    </row>
    <row r="10" spans="2:18" ht="19.5" customHeight="1">
      <c r="E10" s="102" t="s">
        <v>289</v>
      </c>
      <c r="F10" s="102"/>
      <c r="G10" s="102"/>
      <c r="H10" s="102"/>
      <c r="I10" s="103" t="s">
        <v>287</v>
      </c>
      <c r="J10" s="102"/>
      <c r="K10" s="102"/>
      <c r="L10" s="103" t="s">
        <v>287</v>
      </c>
      <c r="M10" s="103" t="s">
        <v>287</v>
      </c>
      <c r="P10" s="261"/>
      <c r="Q10" s="104" t="s">
        <v>299</v>
      </c>
      <c r="R10" s="105" t="s">
        <v>352</v>
      </c>
    </row>
    <row r="11" spans="2:18" ht="19.5" customHeight="1">
      <c r="E11" s="102" t="s">
        <v>290</v>
      </c>
      <c r="F11" s="102"/>
      <c r="G11" s="102"/>
      <c r="H11" s="102"/>
      <c r="I11" s="102"/>
      <c r="J11" s="102"/>
      <c r="K11" s="102"/>
      <c r="L11" s="103" t="s">
        <v>287</v>
      </c>
      <c r="M11" s="103" t="s">
        <v>287</v>
      </c>
      <c r="P11" s="261"/>
      <c r="Q11" s="108" t="s">
        <v>353</v>
      </c>
      <c r="R11" s="109" t="s">
        <v>354</v>
      </c>
    </row>
    <row r="12" spans="2:18" ht="19.5" customHeight="1">
      <c r="E12" s="102" t="s">
        <v>291</v>
      </c>
      <c r="F12" s="102"/>
      <c r="G12" s="102"/>
      <c r="H12" s="102"/>
      <c r="I12" s="102"/>
      <c r="J12" s="102"/>
      <c r="K12" s="102"/>
      <c r="L12" s="103" t="s">
        <v>287</v>
      </c>
      <c r="M12" s="103" t="s">
        <v>287</v>
      </c>
      <c r="P12" s="261"/>
      <c r="Q12" s="108" t="s">
        <v>355</v>
      </c>
      <c r="R12" s="109" t="s">
        <v>356</v>
      </c>
    </row>
    <row r="13" spans="2:18" ht="19.5" customHeight="1">
      <c r="E13" s="102" t="s">
        <v>292</v>
      </c>
      <c r="F13" s="102"/>
      <c r="G13" s="102"/>
      <c r="H13" s="102"/>
      <c r="I13" s="102"/>
      <c r="J13" s="102"/>
      <c r="K13" s="102"/>
      <c r="L13" s="103" t="s">
        <v>287</v>
      </c>
      <c r="M13" s="103" t="s">
        <v>287</v>
      </c>
      <c r="P13" s="261"/>
      <c r="Q13" s="108" t="s">
        <v>312</v>
      </c>
      <c r="R13" s="109" t="s">
        <v>357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1"/>
    </row>
    <row r="15" spans="2:18" ht="19.5" customHeight="1">
      <c r="E15" s="102" t="s">
        <v>293</v>
      </c>
      <c r="F15" s="102"/>
      <c r="G15" s="103" t="s">
        <v>294</v>
      </c>
      <c r="H15" s="102"/>
      <c r="I15" s="102"/>
      <c r="J15" s="102"/>
      <c r="K15" s="102"/>
      <c r="L15" s="103" t="s">
        <v>294</v>
      </c>
      <c r="M15" s="103" t="s">
        <v>294</v>
      </c>
      <c r="P15" s="261"/>
      <c r="Q15" s="106" t="s">
        <v>358</v>
      </c>
      <c r="R15" s="102" t="s">
        <v>359</v>
      </c>
    </row>
    <row r="16" spans="2:18" ht="19.5" customHeight="1">
      <c r="E16" s="102" t="s">
        <v>295</v>
      </c>
      <c r="F16" s="102"/>
      <c r="G16" s="102"/>
      <c r="H16" s="102"/>
      <c r="I16" s="102"/>
      <c r="J16" s="102"/>
      <c r="K16" s="102"/>
      <c r="L16" s="103" t="s">
        <v>294</v>
      </c>
      <c r="M16" s="103" t="s">
        <v>294</v>
      </c>
      <c r="P16" s="261"/>
      <c r="Q16" s="106" t="s">
        <v>360</v>
      </c>
      <c r="R16" s="102" t="s">
        <v>361</v>
      </c>
    </row>
    <row r="17" spans="16:18" ht="19.5" customHeight="1">
      <c r="P17" s="261"/>
      <c r="Q17" s="106" t="s">
        <v>300</v>
      </c>
      <c r="R17" s="102" t="s">
        <v>362</v>
      </c>
    </row>
    <row r="18" spans="16:18" ht="19.5" customHeight="1">
      <c r="P18" s="261"/>
      <c r="Q18" s="106" t="s">
        <v>363</v>
      </c>
      <c r="R18" s="102" t="s">
        <v>364</v>
      </c>
    </row>
    <row r="19" spans="16:18" ht="19.5" customHeight="1">
      <c r="P19" s="261"/>
      <c r="Q19" s="104" t="s">
        <v>349</v>
      </c>
      <c r="R19" s="105" t="s">
        <v>365</v>
      </c>
    </row>
    <row r="20" spans="16:18" ht="19.5" customHeight="1">
      <c r="P20" s="261"/>
      <c r="Q20" s="106" t="s">
        <v>366</v>
      </c>
      <c r="R20" s="102" t="s">
        <v>367</v>
      </c>
    </row>
    <row r="21" spans="16:18" ht="19.5" customHeight="1">
      <c r="P21" s="261"/>
      <c r="Q21" s="104" t="s">
        <v>366</v>
      </c>
      <c r="R21" s="105" t="s">
        <v>368</v>
      </c>
    </row>
    <row r="22" spans="16:18" ht="19.5" customHeight="1">
      <c r="P22" s="261"/>
      <c r="Q22" s="108" t="s">
        <v>369</v>
      </c>
      <c r="R22" s="109" t="s">
        <v>370</v>
      </c>
    </row>
    <row r="23" spans="16:18" ht="19.5" customHeight="1">
      <c r="P23" s="261"/>
      <c r="Q23" s="108" t="s">
        <v>371</v>
      </c>
      <c r="R23" s="109" t="s">
        <v>372</v>
      </c>
    </row>
    <row r="24" spans="16:18" ht="19.5" customHeight="1">
      <c r="P24" s="261"/>
      <c r="Q24" s="108" t="s">
        <v>373</v>
      </c>
      <c r="R24" s="109" t="s">
        <v>374</v>
      </c>
    </row>
    <row r="25" spans="16:18" ht="19.5" customHeight="1">
      <c r="P25" s="261"/>
    </row>
    <row r="26" spans="16:18" ht="19.5" customHeight="1">
      <c r="P26" s="261"/>
      <c r="Q26" s="106" t="s">
        <v>375</v>
      </c>
      <c r="R26" s="102" t="s">
        <v>376</v>
      </c>
    </row>
    <row r="27" spans="16:18" ht="19.5" customHeight="1">
      <c r="P27" s="261"/>
      <c r="Q27" s="108" t="s">
        <v>301</v>
      </c>
      <c r="R27" s="109" t="s">
        <v>302</v>
      </c>
    </row>
    <row r="28" spans="16:18" ht="19.5" customHeight="1">
      <c r="P28" s="261"/>
      <c r="Q28" s="104" t="s">
        <v>298</v>
      </c>
      <c r="R28" s="105" t="s">
        <v>303</v>
      </c>
    </row>
    <row r="29" spans="16:18" ht="19.5" customHeight="1">
      <c r="P29" s="261"/>
      <c r="Q29" s="107"/>
      <c r="R29" s="106"/>
    </row>
    <row r="30" spans="16:18" ht="19.5" customHeight="1">
      <c r="P30" s="261"/>
      <c r="Q30" s="106" t="s">
        <v>377</v>
      </c>
      <c r="R30" s="102" t="s">
        <v>304</v>
      </c>
    </row>
    <row r="31" spans="16:18" ht="19.5" customHeight="1">
      <c r="P31" s="261"/>
      <c r="Q31" s="108" t="s">
        <v>378</v>
      </c>
      <c r="R31" s="109" t="s">
        <v>379</v>
      </c>
    </row>
    <row r="32" spans="16:18" ht="19.5" customHeight="1">
      <c r="P32" s="261"/>
      <c r="Q32" s="106" t="s">
        <v>305</v>
      </c>
      <c r="R32" s="102" t="s">
        <v>380</v>
      </c>
    </row>
    <row r="33" spans="16:18" ht="19.5" customHeight="1">
      <c r="P33" s="261"/>
      <c r="Q33" s="110" t="s">
        <v>381</v>
      </c>
      <c r="R33" s="109" t="s">
        <v>382</v>
      </c>
    </row>
    <row r="34" spans="16:18" ht="19.5" customHeight="1">
      <c r="P34" s="261"/>
      <c r="Q34" s="107"/>
      <c r="R34" s="106"/>
    </row>
    <row r="35" spans="16:18" ht="19.5" customHeight="1">
      <c r="P35" s="261"/>
      <c r="Q35" s="106" t="s">
        <v>383</v>
      </c>
      <c r="R35" s="102" t="s">
        <v>306</v>
      </c>
    </row>
    <row r="36" spans="16:18" ht="19.5" customHeight="1">
      <c r="P36" s="261"/>
      <c r="Q36" s="108" t="s">
        <v>384</v>
      </c>
      <c r="R36" s="109" t="s">
        <v>385</v>
      </c>
    </row>
    <row r="37" spans="16:18" ht="19.5" customHeight="1">
      <c r="P37" s="261"/>
      <c r="Q37" s="106" t="s">
        <v>307</v>
      </c>
      <c r="R37" s="102" t="s">
        <v>386</v>
      </c>
    </row>
    <row r="38" spans="16:18" ht="19.5" customHeight="1">
      <c r="P38" s="261"/>
      <c r="Q38" s="110" t="s">
        <v>387</v>
      </c>
      <c r="R38" s="109" t="s">
        <v>388</v>
      </c>
    </row>
    <row r="39" spans="16:18" ht="19.5" customHeight="1">
      <c r="P39" s="261"/>
      <c r="Q39" s="107"/>
      <c r="R39" s="106"/>
    </row>
    <row r="40" spans="16:18" ht="19.5" customHeight="1">
      <c r="P40" s="261"/>
      <c r="Q40" s="106" t="s">
        <v>389</v>
      </c>
      <c r="R40" s="102" t="s">
        <v>308</v>
      </c>
    </row>
    <row r="41" spans="16:18" ht="19.5" customHeight="1">
      <c r="P41" s="262"/>
      <c r="Q41" s="108" t="s">
        <v>309</v>
      </c>
      <c r="R41" s="109" t="s">
        <v>310</v>
      </c>
    </row>
    <row r="42" spans="16:18" ht="19.5" customHeight="1"/>
    <row r="43" spans="16:18" ht="19.5" customHeight="1">
      <c r="P43" s="257" t="s">
        <v>390</v>
      </c>
      <c r="Q43" s="102" t="s">
        <v>391</v>
      </c>
      <c r="R43" s="102" t="s">
        <v>392</v>
      </c>
    </row>
    <row r="44" spans="16:18" ht="19.5" customHeight="1">
      <c r="P44" s="257"/>
      <c r="Q44" s="114" t="s">
        <v>391</v>
      </c>
      <c r="R44" s="105" t="s">
        <v>393</v>
      </c>
    </row>
    <row r="45" spans="16:18" ht="19.5" customHeight="1">
      <c r="P45" s="257"/>
      <c r="Q45" s="102" t="s">
        <v>394</v>
      </c>
      <c r="R45" s="111" t="s">
        <v>395</v>
      </c>
    </row>
    <row r="46" spans="16:18" ht="19.5" customHeight="1">
      <c r="P46" s="257"/>
      <c r="Q46" s="114" t="s">
        <v>394</v>
      </c>
      <c r="R46" s="105" t="s">
        <v>311</v>
      </c>
    </row>
    <row r="47" spans="16:18" ht="19.5" customHeight="1"/>
    <row r="48" spans="16:18" ht="19.5" customHeight="1">
      <c r="P48" s="257" t="s">
        <v>396</v>
      </c>
      <c r="Q48" s="102" t="s">
        <v>312</v>
      </c>
      <c r="R48" s="102" t="s">
        <v>397</v>
      </c>
    </row>
    <row r="49" spans="16:18" ht="19.5" customHeight="1">
      <c r="P49" s="257"/>
      <c r="Q49" s="102" t="s">
        <v>373</v>
      </c>
      <c r="R49" s="102" t="s">
        <v>313</v>
      </c>
    </row>
    <row r="50" spans="16:18" ht="19.5" customHeight="1">
      <c r="P50" s="257"/>
      <c r="Q50" s="102" t="s">
        <v>345</v>
      </c>
      <c r="R50" s="102" t="s">
        <v>398</v>
      </c>
    </row>
    <row r="51" spans="16:18" ht="19.5" customHeight="1">
      <c r="P51" s="257"/>
      <c r="Q51" s="102" t="s">
        <v>363</v>
      </c>
      <c r="R51" s="102" t="s">
        <v>399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이름이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rcasio</cp:lastModifiedBy>
  <cp:lastPrinted>2018-02-02T00:24:20Z</cp:lastPrinted>
  <dcterms:created xsi:type="dcterms:W3CDTF">2014-01-09T06:42:40Z</dcterms:created>
  <dcterms:modified xsi:type="dcterms:W3CDTF">2018-02-02T06:55:19Z</dcterms:modified>
</cp:coreProperties>
</file>